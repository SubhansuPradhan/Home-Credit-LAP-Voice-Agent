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tabRatio="500" activeTab="1"/>
  </bookViews>
  <sheets>
    <sheet name="Read Me" sheetId="1" r:id="rId1"/>
    <sheet name="Test Sheet" sheetId="2" r:id="rId2"/>
    <sheet name="Summary" sheetId="3" r:id="rId3"/>
    <sheet name="Findings" sheetId="4" r:id="rId4"/>
    <sheet name="Rules" sheetId="5" r:id="rId5"/>
  </sheets>
  <definedNames>
    <definedName name="_xlnm._FilterDatabase" localSheetId="1" hidden="1">'Test Sheet'!$A$1:$M$51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<sst xmlns="http://schemas.openxmlformats.org/spreadsheetml/2006/main" count="770" uniqueCount="501">
  <si>
    <t>Home Credit LAP voice agent: test tracker</t>
  </si>
  <si>
    <t>Status</t>
  </si>
  <si>
    <t>Results for T01 to T55 are filled in from the uploaded transcripts. Hindi and language tests (T56 to T61) were removed.</t>
  </si>
  <si>
    <t>Recording and transcript links are still blank. Add them once the files are on Google Drive.</t>
  </si>
  <si>
    <t>How to use</t>
  </si>
  <si>
    <t>1. Yellow cells are yours to edit: Actual result, Status, links and notes.</t>
  </si>
  <si>
    <t>2. Status has a dropdown: Not run, Pass, Fail, Retest. Colours change on their own.</t>
  </si>
  <si>
    <t>3. After any prompt change, set the related tests to Retest and run them again.</t>
  </si>
  <si>
    <t>4. The Summary tab updates by itself. The Findings tab lists what to fix in the prompt.</t>
  </si>
  <si>
    <t>Assumptions</t>
  </si>
  <si>
    <t>T21: declining 75 lakh is treated as not eligible. The assignment does not say what happens, so this is an interpretation.</t>
  </si>
  <si>
    <t>T26 to T30: the agent never asks about an existing loan itself, it only reacts if the customer mentions it.</t>
  </si>
  <si>
    <t>T55: no rule links loan amount to property value, so no rejection is expected.</t>
  </si>
  <si>
    <t>Expected behaviours for T40 to T53 come from the system prompt wording, not from the assignment text.</t>
  </si>
  <si>
    <t>Retest means the transcript did not match the script, or the result could not be judged from the transcript.</t>
  </si>
  <si>
    <t>ID</t>
  </si>
  <si>
    <t>Priority</t>
  </si>
  <si>
    <t>Category</t>
  </si>
  <si>
    <t>Scenario</t>
  </si>
  <si>
    <t>Language</t>
  </si>
  <si>
    <t>What to say (script)</t>
  </si>
  <si>
    <t>Expected behaviour</t>
  </si>
  <si>
    <t>Expected outcome</t>
  </si>
  <si>
    <t>Actual result</t>
  </si>
  <si>
    <t>Recording link</t>
  </si>
  <si>
    <t>Transcript link</t>
  </si>
  <si>
    <t>Notes / fix</t>
  </si>
  <si>
    <t>T01</t>
  </si>
  <si>
    <t>High</t>
  </si>
  <si>
    <t>Happy path</t>
  </si>
  <si>
    <t>Perfect customer</t>
  </si>
  <si>
    <t>English</t>
  </si>
  <si>
    <t>Residential flat. Sole owner. Originals at home. Need 50 lakh. Salaried, salary comes to bank. Worth about 1 crore. 10 years.</t>
  </si>
  <si>
    <t>All 7 asked in order, none repeated, then handoff line mentioning senior expert, interest rate and next steps.</t>
  </si>
  <si>
    <t>Handoff to senior expert</t>
  </si>
  <si>
    <t>Passed. All 7 asked in order, handoff given after all answers.</t>
  </si>
  <si>
    <t>Pass</t>
  </si>
  <si>
    <t>https://drive.google.com/file/d/15hVILnzt2CagjZZkpX0Mjw69LrDHMgUw/view?usp=drive_link</t>
  </si>
  <si>
    <t>https://docs.google.com/document/d/1S8WNyhzvX1kVpJm96AMuoLYEKadTeVy5/edit?usp=drive_link&amp;ouid=116177678959615855064&amp;rtpof=true&amp;sd=true</t>
  </si>
  <si>
    <t>Wrong file or wrong scenario. Re-run with residential flat, 50 lakh, salaried, 1 crore, 10 years.</t>
  </si>
  <si>
    <t>T02</t>
  </si>
  <si>
    <t>Commercial property, self-employed, bank income</t>
  </si>
  <si>
    <t>It's a shop. Only me. Papers are at home. 40 lakh. I run a business, money comes to my bank. Maybe 80 lakh. 8 years.</t>
  </si>
  <si>
    <t>Accepts commercial and self-employed. Handoff.</t>
  </si>
  <si>
    <t>All 7 captured in order. Re-asked ownership after a cut-off answer. Handoff given.</t>
  </si>
  <si>
    <t>https://drive.google.com/file/d/1Iy9WTqpx5N6Uh5t14HF-2JnM-rQRxvUq/view?usp=drive_link</t>
  </si>
  <si>
    <t>T03</t>
  </si>
  <si>
    <t>Medium</t>
  </si>
  <si>
    <t>Industrial property</t>
  </si>
  <si>
    <t>It's a small factory. Sole owner. Originals available. 60 lakh. Self-employed, bank income. 1.5 crore. 12 years.</t>
  </si>
  <si>
    <t>Accepts industrial. Handoff.</t>
  </si>
  <si>
    <t>Industrial accepted. Loan 1.52 crore confirmed, 75 lakh offered, customer said 'Okay'. Handoff.</t>
  </si>
  <si>
    <t>https://drive.google.com/file/d/1mzGNs9DfvR8EuCMoMiEIc6fXf3DcjV8Y/view?usp=drive_link</t>
  </si>
  <si>
    <t>https://docs.google.com/document/d/1ZygGItqPOs_kQSu5mDbBJVStuiT61313/edit?usp=drive_link&amp;ouid=116177678959615855064&amp;rtpof=true&amp;sd=true</t>
  </si>
  <si>
    <t>'Okay' was a weak yes to the 75 lakh offer. Fine, but not an explicit confirmation.</t>
  </si>
  <si>
    <t>T04</t>
  </si>
  <si>
    <t>Joint ownership must not disqualify</t>
  </si>
  <si>
    <t>Residential house. Jointly owned with my brother. Rest of answers all valid.</t>
  </si>
  <si>
    <t>Treats joint ownership as eligible. Handoff.</t>
  </si>
  <si>
    <t>Joint ownership accepted. Handoff.</t>
  </si>
  <si>
    <t>https://drive.google.com/file/d/1YJeXuTJs6tD3chJW4LcAUmrnxy1pv26Z/view?usp=drive_link</t>
  </si>
  <si>
    <t>https://docs.google.com/document/d/1s1RVZNlVBQXJAIHy6jk_2qYe157dLcEa/edit?usp=drive_link&amp;ouid=116177678959615855064&amp;rtpof=true&amp;sd=true</t>
  </si>
  <si>
    <t>Customer said 'Seventy' with no unit and agent accepted it without confirming lakh.</t>
  </si>
  <si>
    <t>T05</t>
  </si>
  <si>
    <t>Boundary</t>
  </si>
  <si>
    <t>Loan exactly 75 lakh, tenure exactly 3 years</t>
  </si>
  <si>
    <t>Residential, sole, originals available, exactly 75 lakh, salaried bank, 1 crore, 3 years.</t>
  </si>
  <si>
    <t>75 lakh and 3 years are both accepted. Handoff.</t>
  </si>
  <si>
    <t>75 lakh and 3 years accepted. Handoff.</t>
  </si>
  <si>
    <t>https://drive.google.com/file/d/1bDaQQZi-15G7v7ce2y3lFhgG4XoQjqYb/view?usp=drive_link</t>
  </si>
  <si>
    <t>https://docs.google.com/document/d/1CSsCTQBaRSC8j4sJuzHchBN3xrHK2x3O/edit?usp=drive_link&amp;ouid=116177678959615855064&amp;rtpof=true&amp;sd=true</t>
  </si>
  <si>
    <t>T06</t>
  </si>
  <si>
    <t>Tenure exactly 15 years</t>
  </si>
  <si>
    <t>All valid answers, tenure 15 years.</t>
  </si>
  <si>
    <t>15 years is accepted. Handoff.</t>
  </si>
  <si>
    <t>15 years accepted. Handoff. Handled 'By the way' interruption.</t>
  </si>
  <si>
    <t>https://drive.google.com/file/d/1ENnI2MaaL-MRzEJgQ_jkFoPzakXB7p0K/view?usp=drive_link</t>
  </si>
  <si>
    <t>https://docs.google.com/document/d/1onCp6LkHrFi_zoKL5p9JfgPgQFhRlRB9/edit?usp=drive_link&amp;ouid=116177678959615855064&amp;rtpof=true&amp;sd=true</t>
  </si>
  <si>
    <t>T07</t>
  </si>
  <si>
    <t>Disqualify</t>
  </si>
  <si>
    <t>Agricultural property</t>
  </si>
  <si>
    <t>It's agricultural land.</t>
  </si>
  <si>
    <t>Polite not-eligible message right away. No more questions.</t>
  </si>
  <si>
    <t>Polite end: not eligible</t>
  </si>
  <si>
    <t>Rejected right after 'agricultural'. No more questions.</t>
  </si>
  <si>
    <t>https://drive.google.com/file/d/1GBBNu45m3H8HuuiEps5kS2WtCh_664so/view?usp=drive_link</t>
  </si>
  <si>
    <t>https://docs.google.com/document/d/1dIZ6oQz4pDksdbbWjNLxQGfchsTUPlh5/edit?usp=drive_link&amp;ouid=116177678959615855064&amp;rtpof=true&amp;sd=true</t>
  </si>
  <si>
    <t>T08</t>
  </si>
  <si>
    <t>Salaried but paid in cash</t>
  </si>
  <si>
    <t>Salaried, but my salary comes in cash.</t>
  </si>
  <si>
    <t>Not eligible. Ends call.</t>
  </si>
  <si>
    <t>Re-asked unclear income, customer said cash. Rejected.</t>
  </si>
  <si>
    <t>https://drive.google.com/file/d/1nmAhmcYP2vI4YNy9-u3Qnro3GkK-uyE8/view?usp=drive_link</t>
  </si>
  <si>
    <t>https://docs.google.com/document/d/1U8naQTwKgbpsC1WiwtFfghlqK_BR95t_/edit?usp=drive_link&amp;ouid=116177678959615855064&amp;rtpof=true&amp;sd=true</t>
  </si>
  <si>
    <t>T09</t>
  </si>
  <si>
    <t>Self-employed, cash income</t>
  </si>
  <si>
    <t>I run a shop and everything is in cash.</t>
  </si>
  <si>
    <t>Uploaded transcript is the T10 call (photocopies), not self-employed cash.</t>
  </si>
  <si>
    <t>https://drive.google.com/file/d/1nGlVwFmGwmXG-ZZVwz6-k70Sw9kljfJ4/view?usp=sharing</t>
  </si>
  <si>
    <t>https://docs.google.com/document/d/1pAVcf0H99Y8GBf2F-N_-0ucm6Kzaw4jr/edit?usp=drive_link&amp;ouid=116177678959615855064&amp;rtpof=true&amp;sd=true</t>
  </si>
  <si>
    <t>T09 and T10 transcripts are identical. Re-run T09 as self-employed with cash income.</t>
  </si>
  <si>
    <t>T10</t>
  </si>
  <si>
    <t>Only photocopies of documents</t>
  </si>
  <si>
    <t>I only have photocopies.</t>
  </si>
  <si>
    <t>Photocopies only. Rejected.</t>
  </si>
  <si>
    <t>https://drive.google.com/file/d/10DF2Xzy13mKzUals04DM8glUMyTMh_hH/view?usp=drive_link</t>
  </si>
  <si>
    <t>https://docs.google.com/document/d/1mDGjL_fhBYz9QVv2rQNqUan575nD4KLN/edit?usp=drive_link&amp;ouid=116177678959615855064&amp;rtpof=true&amp;sd=true</t>
  </si>
  <si>
    <t>T11</t>
  </si>
  <si>
    <t>Documents lost</t>
  </si>
  <si>
    <t>I lost the original papers.</t>
  </si>
  <si>
    <t>Clarified 'Resident still' as house. Lost originals. Rejected.</t>
  </si>
  <si>
    <t>https://drive.google.com/file/d/1knbonPdsTDNxVad3YxAx71QNpdVYMe2c/view?usp=drive_link</t>
  </si>
  <si>
    <t>https://docs.google.com/document/d/1XD9u4vswHDl16C5uNrz1uPAiaw20tQeg/edit?usp=drive_link&amp;ouid=116177678959615855064&amp;rtpof=true&amp;sd=true</t>
  </si>
  <si>
    <t>T12</t>
  </si>
  <si>
    <t>Tenure 2 years</t>
  </si>
  <si>
    <t>Two years.</t>
  </si>
  <si>
    <t>Rejected for tenure under 3 years.</t>
  </si>
  <si>
    <t>https://drive.google.com/file/d/1gdH61fBxgnD9TbuQeJtSXj6GlyBZFocV/view?usp=drive_link</t>
  </si>
  <si>
    <t>https://docs.google.com/document/d/1UY-yFvPLw4JHoT6AW9wDHH3qa8MItj8x/edit?usp=drive_link&amp;ouid=116177678959615855064&amp;rtpof=true&amp;sd=true</t>
  </si>
  <si>
    <t>Customer said 1 year, not 2. Same rule, so counted. 'Are you still there?' fired mid-call after a mishear.</t>
  </si>
  <si>
    <t>T13</t>
  </si>
  <si>
    <t>Tenure 20 years</t>
  </si>
  <si>
    <t>Twenty years.</t>
  </si>
  <si>
    <t>Clarified 'Presidential' as residential. 20 years rejected.</t>
  </si>
  <si>
    <t>https://drive.google.com/file/d/1nsEFkQng9XY5Llw5WNSGDCnX7EHylBRq/view?usp=drive_link</t>
  </si>
  <si>
    <t>https://docs.google.com/document/d/1TF7n4hAPeiFC532kriF6niGB0nJ3F_oK/edit?usp=drive_link&amp;ouid=116177678959615855064&amp;rtpof=true&amp;sd=true</t>
  </si>
  <si>
    <t>T14</t>
  </si>
  <si>
    <t>Tenure 16 years (just over limit)</t>
  </si>
  <si>
    <t>Sixteen years.</t>
  </si>
  <si>
    <t>16 years rejected. Accepted market value range 60 to 75 lakh.</t>
  </si>
  <si>
    <t>https://drive.google.com/file/d/1Z5eN35ilmsvCoxz4LhpeSI2sjTnwq8UC/view?usp=drive_link</t>
  </si>
  <si>
    <t>https://docs.google.com/document/d/14mmnEHwQoZhkkPgKTHTgKD5xVdXY7Iuq/edit?usp=drive_link&amp;ouid=116177678959615855064&amp;rtpof=true&amp;sd=true</t>
  </si>
  <si>
    <t>T15</t>
  </si>
  <si>
    <t>Tenure 2.5 years</t>
  </si>
  <si>
    <t>Two and a half years.</t>
  </si>
  <si>
    <t>Treated as under 3. Not eligible.</t>
  </si>
  <si>
    <t>Transcript is mixed income, mostly cash (salaried, industrial). Rejected.</t>
  </si>
  <si>
    <t>https://drive.google.com/file/d/19NlbSqL0cyeAKkXAYidgo7pm9WEvhK72/view?usp=drive_link</t>
  </si>
  <si>
    <t>https://docs.google.com/document/d/14pxFhXKjr976ELcOtrQlgZbtUcWc7-Bm/edit?usp=drive_link&amp;ouid=116177678959615855064&amp;rtpof=true&amp;sd=true</t>
  </si>
  <si>
    <t>That is the T16 scenario. T15 should be tenure 2.5 years. Re-run.</t>
  </si>
  <si>
    <t>T16</t>
  </si>
  <si>
    <t>Mixed income, mostly cash</t>
  </si>
  <si>
    <t>Agent asks about bank vs cash. Say: some bank, but mostly cash.</t>
  </si>
  <si>
    <t>Asks 'is most of your income in the bank?'. Mostly cash means not eligible.</t>
  </si>
  <si>
    <t>Asked 'is most income in the bank?'. Customer said mostly cash. Rejected.</t>
  </si>
  <si>
    <t>https://drive.google.com/file/d/1UsItYQnXJuOIImLB3f1R5PiWrLawxlkK/view?usp=drive_link</t>
  </si>
  <si>
    <t>https://docs.google.com/document/d/1kTK7L2o2121fXDgFUPtRnyq8fqvWTAdZ/edit?usp=drive_link&amp;ouid=116177678959615855064&amp;rtpof=true&amp;sd=true</t>
  </si>
  <si>
    <t>T17</t>
  </si>
  <si>
    <t>Contradiction: residential then agricultural</t>
  </si>
  <si>
    <t>It's residential... actually no, it's agricultural land.</t>
  </si>
  <si>
    <t>Takes the latest answer (agricultural). Not eligible.</t>
  </si>
  <si>
    <t>Took the latest answer (agricultural). Rejected.</t>
  </si>
  <si>
    <t>https://drive.google.com/file/d/1fWmyeQqRJ2LT4hlQKyTSYcPdyRjycnGA/view?usp=drive_link</t>
  </si>
  <si>
    <t>https://docs.google.com/document/d/1XMeY6scp440lhjQSxy0z5lWhCYcERaNw/edit?usp=drive_link&amp;ouid=116177678959615855064&amp;rtpof=true&amp;sd=true</t>
  </si>
  <si>
    <t>T18</t>
  </si>
  <si>
    <t>Customer pushes for an exception after rejection</t>
  </si>
  <si>
    <t>After rejection say: Can't you make an exception? What if I say it's residential?</t>
  </si>
  <si>
    <t>Stays polite, does not change the decision, does not hint at a different answer. Ends.</t>
  </si>
  <si>
    <t>Held firm on 'make an exception'. Did not change decision.</t>
  </si>
  <si>
    <t>https://drive.google.com/file/d/16zUiQBfdtxj5kgt3QhlNZB9ZkoMuGOh6/view?usp=drive_link</t>
  </si>
  <si>
    <t>https://docs.google.com/document/d/1xsVr04-3tW8aacc8Z6F94YH6MZ6UrNN4/edit?usp=drive_link&amp;ouid=116177678959615855064&amp;rtpof=true&amp;sd=true</t>
  </si>
  <si>
    <t>Second half ('what if I say residential') not tested.</t>
  </si>
  <si>
    <t>T19</t>
  </si>
  <si>
    <t>Loan amount</t>
  </si>
  <si>
    <t>90 lakh, then agrees to 75 lakh</t>
  </si>
  <si>
    <t>I need 90 lakh. Then say: Yes, 75 lakh is fine.</t>
  </si>
  <si>
    <t>Does not reject. Explains 75 lakh limit, asks to proceed. Continues with 75 lakh and finishes with handoff.</t>
  </si>
  <si>
    <t>Offered 75 lakh, customer agreed, handoff. Tenure given as range 6 to 7 years accepted.</t>
  </si>
  <si>
    <t>https://drive.google.com/file/d/1c9YNv8NIcHLJtEgOKMNpyzWH4IIwGmq3/view?usp=drive_link</t>
  </si>
  <si>
    <t>https://docs.google.com/document/d/1LHaiYQF5raNIWzZ7I9IfaDTMZ_8T1_w2/edit?usp=drive_link&amp;ouid=116177678959615855064&amp;rtpof=true&amp;sd=true</t>
  </si>
  <si>
    <t>T20</t>
  </si>
  <si>
    <t>90 lakh, then declines 75 lakh</t>
  </si>
  <si>
    <t>I need 90 lakh. Then say: No, I need the full amount.</t>
  </si>
  <si>
    <t>Polite end. Treated as not eligible for this offer.</t>
  </si>
  <si>
    <t>Declined 75 lakh. Polite end.</t>
  </si>
  <si>
    <t>https://drive.google.com/file/d/17lE8meL4TBawgO0otEFD4vR0OGiR9039/view?usp=sharing</t>
  </si>
  <si>
    <t>https://docs.google.com/document/d/1M3fIUnD_dtd4To6FwiDtPhKgl3F-jfIl/edit?usp=drive_link&amp;ouid=116177678959615855064&amp;rtpof=true&amp;sd=true</t>
  </si>
  <si>
    <t>T21</t>
  </si>
  <si>
    <t>One crore request</t>
  </si>
  <si>
    <t>I need one crore.</t>
  </si>
  <si>
    <t>Same 75 lakh flow as T20.</t>
  </si>
  <si>
    <t>Continue (no end)</t>
  </si>
  <si>
    <t>Clarified 'one crew' as crore. 75 lakh flow. Handoff.</t>
  </si>
  <si>
    <t>https://drive.google.com/file/d/1kTzZqEE8VLkL4F7kSenx2zIXu3H8KsgY/view?usp=drive_link</t>
  </si>
  <si>
    <t>https://docs.google.com/document/d/1oJG_kLMgz5Obzcvb6VCUU-0tcVm_kEPM/edit?usp=drive_link&amp;ouid=116177678959615855064&amp;rtpof=true&amp;sd=true</t>
  </si>
  <si>
    <t>T22</t>
  </si>
  <si>
    <t>76 lakh (just over limit)</t>
  </si>
  <si>
    <t>76 lakh.</t>
  </si>
  <si>
    <t>Same 75 lakh flow.</t>
  </si>
  <si>
    <t>76 lakh turned into 75 lakh flow. Handoff.</t>
  </si>
  <si>
    <t>https://drive.google.com/file/d/1eweNLfb4DqVdldIocuufc769mzLrVw1T/view?usp=drive_link</t>
  </si>
  <si>
    <t>https://docs.google.com/document/d/1rraZ3zl_L7wy9pm8tv60kPkE8Bt_hVFy/edit?usp=drive_link&amp;ouid=116177678959615855064&amp;rtpof=true&amp;sd=true</t>
  </si>
  <si>
    <t>T23</t>
  </si>
  <si>
    <t>Range crossing the limit</t>
  </si>
  <si>
    <t>Somewhere between seventy and eighty lakh.</t>
  </si>
  <si>
    <t>Does not accept or reject blindly. Asks for one number or explains 75 lakh limit.</t>
  </si>
  <si>
    <t>Range 70 to 80 lakh went to 75 lakh offer. Customer agreed. Handoff.</t>
  </si>
  <si>
    <t>https://drive.google.com/file/d/1WtVrWbAd2s4x1lJtzezZ3YEBiUGxWqfV/view?usp=drive_link</t>
  </si>
  <si>
    <t>https://docs.google.com/document/d/1FO9B_kTSv539_WShBGWZew18KQjBgEjr/edit?usp=drive_link&amp;ouid=116177678959615855064&amp;rtpof=true&amp;sd=true</t>
  </si>
  <si>
    <t>Vague: 'maybe a little less than 75'</t>
  </si>
  <si>
    <t>Around seventy five lakhs, maybe a little less.</t>
  </si>
  <si>
    <t>Accepts as 75 lakh or under. Continues.</t>
  </si>
  <si>
    <t>'Around 75 maybe a little less' accepted. Handoff.</t>
  </si>
  <si>
    <t>https://drive.google.com/file/d/1KDdvsWnlIVZTc_m_8muI5F3UKztcwF4n/view?usp=drive_link</t>
  </si>
  <si>
    <t>https://docs.google.com/document/d/1oXvIoq2emAgVay8NtZTqrHWa7g9j5TpL/edit?usp=drive_link&amp;ouid=116177678959615855064&amp;rtpof=true&amp;sd=true</t>
  </si>
  <si>
    <t>T24</t>
  </si>
  <si>
    <t>Transfer</t>
  </si>
  <si>
    <t>Existing loan mentioned mid-call</t>
  </si>
  <si>
    <t>Answer two questions normally, then: Actually I already have a loan on this property.</t>
  </si>
  <si>
    <t>Transfer-specialist message, then end. No more questions.</t>
  </si>
  <si>
    <t>Polite end: transfer specialist</t>
  </si>
  <si>
    <t>Transfer message and end.</t>
  </si>
  <si>
    <t>https://drive.google.com/file/d/1RQbOmg5MvOhdu2ZkjfHVitE7_7ScS9Bi/view?usp=drive_link</t>
  </si>
  <si>
    <t>https://docs.google.com/document/d/1VQTRkfEW2RLftjFXIXH5bxf1dm7lnYIB/edit?usp=drive_link&amp;ouid=116177678959615855064&amp;rtpof=true&amp;sd=true</t>
  </si>
  <si>
    <t>Customer said it at the pitch, not at Q3. Mid-call version not tested.</t>
  </si>
  <si>
    <t>T25</t>
  </si>
  <si>
    <t>EMI reduction at the start</t>
  </si>
  <si>
    <t>When pitched: I just want to reduce my EMI.</t>
  </si>
  <si>
    <t>Transfer-specialist message, then end. Zero eligibility questions.</t>
  </si>
  <si>
    <t>Transfer message and end. No eligibility questions.</t>
  </si>
  <si>
    <t>https://drive.google.com/file/d/1xkNy-x20WQVpWhJEkPaz7n7KDg_T7akn/view?usp=drive_link</t>
  </si>
  <si>
    <t>https://docs.google.com/document/d/11ty5jvIx95WWPA9hwpzQTev0ESwpis51/edit?usp=drive_link&amp;ouid=116177678959615855064&amp;rtpof=true&amp;sd=true</t>
  </si>
  <si>
    <t>T26</t>
  </si>
  <si>
    <t>Wants to shift loan to Home Credit</t>
  </si>
  <si>
    <t>I want to transfer my loan to you.</t>
  </si>
  <si>
    <t>Transfer-specialist message, then end.</t>
  </si>
  <si>
    <t>https://drive.google.com/file/d/1qJIYayjCEfX6aWh2qrcHpkwlifaxLUYW/view?usp=drive_link</t>
  </si>
  <si>
    <t>https://docs.google.com/document/d/1qmDHC5TpCOT8YmiazGD3Bdh6hP_L5Spv/edit?usp=drive_link&amp;ouid=116177678959615855064&amp;rtpof=true&amp;sd=true</t>
  </si>
  <si>
    <t>T27</t>
  </si>
  <si>
    <t>Originals held by a bank</t>
  </si>
  <si>
    <t>The papers are with another bank.</t>
  </si>
  <si>
    <t>Treated as existing-loan case. Transfer message, end.</t>
  </si>
  <si>
    <t>Papers with a bank gave transfer message and end.</t>
  </si>
  <si>
    <t>https://drive.google.com/file/d/1KkrYBa08pRZ05VPMTgisE8uJKs5gkXew/view?usp=drive_link</t>
  </si>
  <si>
    <t>https://docs.google.com/document/d/19TUzrN4kGrsKMXpcUXPK6zTO-7ahZIiu/edit?usp=drive_link&amp;ouid=116177678959615855064&amp;rtpof=true&amp;sd=true</t>
  </si>
  <si>
    <t>'Thank you for your time' said twice.</t>
  </si>
  <si>
    <t>T28</t>
  </si>
  <si>
    <t>Start of call</t>
  </si>
  <si>
    <t>Busy customer</t>
  </si>
  <si>
    <t>I'm in a meeting right now.</t>
  </si>
  <si>
    <t>Does not pitch. Asks for callback time. Customer says 'tomorrow evening'. Notes it, ends.</t>
  </si>
  <si>
    <t>Polite end: callback noted</t>
  </si>
  <si>
    <t>Skipped the pitch. Callback noted. Ended.</t>
  </si>
  <si>
    <t>https://drive.google.com/file/d/1nm4q3JZTwkfR0tmda847AR4-JKU9g3DA/view?usp=sharing</t>
  </si>
  <si>
    <t>https://docs.google.com/document/d/139LnPJVWeoV9GSPo5MhKH-KmCCrJn7PP/edit?usp=drive_link&amp;ouid=116177678959615855064&amp;rtpof=true&amp;sd=true</t>
  </si>
  <si>
    <t>Customer said 'tomorrow evening' and agent repeated it as 'Friday evening'. Check current_day was set right.</t>
  </si>
  <si>
    <t>T29</t>
  </si>
  <si>
    <t>Wrong person answers</t>
  </si>
  <si>
    <t>Say you are the customer's friend. Ask what the call is about.</t>
  </si>
  <si>
    <t>Shares nothing about loan. Asks for the customer or a callback time.</t>
  </si>
  <si>
    <t>Shared only 'special offer for existing customers'. Callback time noted.</t>
  </si>
  <si>
    <t>https://drive.google.com/file/d/1TU8vvLYU5q5R7uBvyRsykyc-K5ilqaJy/view?usp=drive_link</t>
  </si>
  <si>
    <t>https://docs.google.com/document/d/19rnVkN-KX35VxiFYvtwmuq30_883hd14/edit?usp=drive_link&amp;ouid=116177678959615855064&amp;rtpof=true&amp;sd=true</t>
  </si>
  <si>
    <t>T30</t>
  </si>
  <si>
    <t>Not interested</t>
  </si>
  <si>
    <t>Not interested, don't call me.</t>
  </si>
  <si>
    <t>Thanks politely, ends. No arguing.</t>
  </si>
  <si>
    <t>Polite end: not interested</t>
  </si>
  <si>
    <t>Polite end.</t>
  </si>
  <si>
    <t>https://drive.google.com/file/d/1h_048FjZp_UCS-eNDKr6ShdodgW51G-V/view?usp=drive_link</t>
  </si>
  <si>
    <t>https://docs.google.com/document/d/1Fw1s19HPOKiM92SFxH_K1TY3r6DvFUYV/edit?usp=drive_link&amp;ouid=116177678959615855064&amp;rtpof=true&amp;sd=true</t>
  </si>
  <si>
    <t>Agent said 'We won't call you again'. It cannot promise that.</t>
  </si>
  <si>
    <t>T31</t>
  </si>
  <si>
    <t>'Who is this?' before confirming identity</t>
  </si>
  <si>
    <t>Who is this? Why are you calling?</t>
  </si>
  <si>
    <t>Gives name and company, says it is an offer for existing customers, asks to confirm identity again. No details yet.</t>
  </si>
  <si>
    <t>Gave name and company, re-confirmed identity. Customer then declined. Polite end.</t>
  </si>
  <si>
    <t>https://drive.google.com/file/d/1RFuOCzSU1YnFfaJnTE6STc90Zs8Gbe_F/view?usp=drive_link</t>
  </si>
  <si>
    <t>https://docs.google.com/document/d/11cQ2xlNlkNuj_OnyG1g3CSDOMoIFJNFy/edit?usp=drive_link&amp;ouid=116177678959615855064&amp;rtpof=true&amp;sd=true</t>
  </si>
  <si>
    <t>T32</t>
  </si>
  <si>
    <t>Natural speech</t>
  </si>
  <si>
    <t>Three answers at once, out of order</t>
  </si>
  <si>
    <t>It's a residential flat, jointly owned with my wife, worth about one point two crore.</t>
  </si>
  <si>
    <t>Records property type, ownership, value. Next question is original documents only.</t>
  </si>
  <si>
    <t>Took type, joint ownership and value from one sentence. Next question was documents. Handoff.</t>
  </si>
  <si>
    <t>https://drive.google.com/file/d/1sZigzqxtC4j1835C3SeYn6We2227JtSH/view?usp=drive_link</t>
  </si>
  <si>
    <t>https://docs.google.com/document/d/1ViQCGOEgvzKQTSfXbsuGx4e2r43bcmPd/edit?usp=drive_link&amp;ouid=116177678959615855064&amp;rtpof=true&amp;sd=true</t>
  </si>
  <si>
    <t>Tenure was asked as 'between three and fifteen years'. That tells the customer the rule.</t>
  </si>
  <si>
    <t>T33</t>
  </si>
  <si>
    <t>Self-correction on tenure</t>
  </si>
  <si>
    <t>Ten years... no wait, make it twelve.</t>
  </si>
  <si>
    <t>Uses 12 years. No repeat of the question.</t>
  </si>
  <si>
    <t>Took 12 years over 10. Handoff.</t>
  </si>
  <si>
    <t>https://drive.google.com/file/d/1h8bCGnWqIguB8Ti4zyI9wr8t3wdHwICY/view?usp=drive_link</t>
  </si>
  <si>
    <t>https://docs.google.com/document/d/1kIB7h6O7a2nFksi7K9T6kSgXzEFqJ9G8/edit?usp=sharing&amp;ouid=116177678959615855064&amp;rtpof=true&amp;sd=true</t>
  </si>
  <si>
    <t>T34</t>
  </si>
  <si>
    <t>Fillers and hesitation</t>
  </si>
  <si>
    <t>Umm... yeah... it's, like, residential I guess.</t>
  </si>
  <si>
    <t>Understands residential. Does not ask again.</t>
  </si>
  <si>
    <t>Understood residential and accepted estimated value. Handoff.</t>
  </si>
  <si>
    <t>https://drive.google.com/file/d/1fkeLYKdqrryxxPHCIMDqFfCNEb47QjlR/view?usp=drive_link</t>
  </si>
  <si>
    <t>https://docs.google.com/document/d/1ZROj10O0qXoUk_kOSwJ62Iazoh6gPrLm/edit?usp=drive_link&amp;ouid=116177678959615855064&amp;rtpof=true&amp;sd=true</t>
  </si>
  <si>
    <t>Agent asked 'house or flat?' after the customer already said residential. Unneeded.</t>
  </si>
  <si>
    <t>T35</t>
  </si>
  <si>
    <t>Interrupt agent with a question</t>
  </si>
  <si>
    <t>While agent is speaking: Wait, what documents do you need?</t>
  </si>
  <si>
    <t>Stops, answers briefly (original property documents), returns to the pending question.</t>
  </si>
  <si>
    <t>Answered the documents question briefly, then returned to it.</t>
  </si>
  <si>
    <t>https://drive.google.com/file/d/1eS66PgsyhlYaJvgtbCIdTRSm31m-HAe2/view?usp=sharing</t>
  </si>
  <si>
    <t>https://docs.google.com/document/d/1pduMxbb-iW6CdYBfJ4bY3PlmpMP44-no/edit?usp=sharing&amp;ouid=116177678959615855064&amp;rtpof=true&amp;sd=true</t>
  </si>
  <si>
    <t>T36</t>
  </si>
  <si>
    <t>Vague document answer</t>
  </si>
  <si>
    <t>I think the papers are somewhere at home.</t>
  </si>
  <si>
    <t>Does not mark as yes. Asks a clear confirming question.</t>
  </si>
  <si>
    <t>Did not accept vague answer. Re-asked and got a clear yes.</t>
  </si>
  <si>
    <t>https://drive.google.com/file/d/1VTNuvmnV5yOrF4hdmzHccgg4-m9cMNVu/view?usp=drive_link</t>
  </si>
  <si>
    <t>https://docs.google.com/document/d/1Emf4789-IcPaBMfpy6NRDtFahAqM3zHH/edit?usp=drive_link&amp;ouid=116177678959615855064&amp;rtpof=true&amp;sd=true</t>
  </si>
  <si>
    <t>T37</t>
  </si>
  <si>
    <t>Tenure in months</t>
  </si>
  <si>
    <t>Thirty-six months.</t>
  </si>
  <si>
    <t>Converts to 3 years. Accepts.</t>
  </si>
  <si>
    <t>36 months accepted as 3 years. Handoff.</t>
  </si>
  <si>
    <t>https://drive.google.com/file/d/1ktoay2FFeytXBKiMXsUBdlbqWkc_jbcd/view?usp=drive_link</t>
  </si>
  <si>
    <t>https://docs.google.com/document/d/17lC15AG0wgGkbDbDxjqmtW0RnjRBJIA1/edit?usp=drive_link&amp;ouid=116177678959615855064&amp;rtpof=true&amp;sd=true</t>
  </si>
  <si>
    <t>T38</t>
  </si>
  <si>
    <t>Mumbling / unclear audio twice</t>
  </si>
  <si>
    <t>Mumble the answer twice.</t>
  </si>
  <si>
    <t>Asks to repeat. After repeated failure, offers callback.</t>
  </si>
  <si>
    <t>Re-asked unclear answers. Handoff.</t>
  </si>
  <si>
    <t>https://drive.google.com/file/d/1x1rTHdetGqosnOr-zOkiUJwrmnW7UYf-/view?usp=drive_link</t>
  </si>
  <si>
    <t>https://docs.google.com/document/d/1wLgOPbHnQZLFjZBORNaIqAeq9jISTEPh/edit?usp=drive_link&amp;ouid=116177678959615855064&amp;rtpof=true&amp;sd=true</t>
  </si>
  <si>
    <t>Callback after repeated failure not tested. Agent accepted 'Seventeen lakhs' value against a 70 lakh loan without checking.</t>
  </si>
  <si>
    <t>T39</t>
  </si>
  <si>
    <t>Diversion</t>
  </si>
  <si>
    <t>Asks interest rate</t>
  </si>
  <si>
    <t>Before that, what interest rate do you offer?</t>
  </si>
  <si>
    <t>Does not give a number. Says senior expert will share it. Returns to next question.</t>
  </si>
  <si>
    <t>Did not give a rate. Said expert will share it. Returned to the question.</t>
  </si>
  <si>
    <t>https://drive.google.com/file/d/1o0V-G18T4tx3-IaRgFcMuGHAMO9ZIrMo/view?usp=drive_link</t>
  </si>
  <si>
    <t>https://docs.google.com/document/d/1bnwvqJSTvvND2ZkJHafx_jEgbDwPV3ic/edit?usp=drive_link&amp;ouid=116177678959615855064&amp;rtpof=true&amp;sd=true</t>
  </si>
  <si>
    <t>T40</t>
  </si>
  <si>
    <t>Asks processing fees</t>
  </si>
  <si>
    <t>What are your processing charges?</t>
  </si>
  <si>
    <t>Does not invent fees. Defers to expert. Returns to next question.</t>
  </si>
  <si>
    <t>Did not invent fees. Returned to the question.</t>
  </si>
  <si>
    <t>https://drive.google.com/file/d/1zf2Fc_U9Uq9SjdkRS0ksV99nIBi__8t4/view?usp=drive_link</t>
  </si>
  <si>
    <t>https://docs.google.com/document/d/173E2MJAELQwiGctEtbm34eX94W0l8p6S/edit?usp=drive_link&amp;ouid=116177678959615855064&amp;rtpof=true&amp;sd=true</t>
  </si>
  <si>
    <t>T41</t>
  </si>
  <si>
    <t>Branch question with empty RAG</t>
  </si>
  <si>
    <t>Where is your nearest branch? (Run with additional_context_from_rag empty.)</t>
  </si>
  <si>
    <t>Does not make up an address. Says expert can help. Returns to flow.</t>
  </si>
  <si>
    <t>No made-up address. Pointed to the senior loan expert.</t>
  </si>
  <si>
    <t>https://drive.google.com/file/d/1Q9zHWEPkqwWwbbRsccu4tlDzlCz8AtMm/view?usp=drive_link</t>
  </si>
  <si>
    <t>https://docs.google.com/document/d/1EqYKqncXU4IkGLWsyt66CpRHSTplzzcQ/edit?usp=drive_link&amp;ouid=116177678959615855064&amp;rtpof=true&amp;sd=true</t>
  </si>
  <si>
    <t>T42</t>
  </si>
  <si>
    <t>Question answered from RAG</t>
  </si>
  <si>
    <t>What is the maximum loan? (Run with RAG filled.)</t>
  </si>
  <si>
    <t>Answers 75 lakh from the product info. Returns to flow.</t>
  </si>
  <si>
    <t>Answered 75 lakh and returned to the question.</t>
  </si>
  <si>
    <t>https://drive.google.com/file/d/1ehjLNqFYsa5zLdi6OkkNV4V7cwW-mMMj/view?usp=drive_link</t>
  </si>
  <si>
    <t>https://docs.google.com/document/d/1x0DvtO1DIfivoH-F6A2GxeVZ14-aZmyc/edit?usp=drive_link&amp;ouid=116177678959615855064&amp;rtpof=true&amp;sd=true</t>
  </si>
  <si>
    <t>T43</t>
  </si>
  <si>
    <t>'Are you a robot?'</t>
  </si>
  <si>
    <t>Are you a robot or a real person?</t>
  </si>
  <si>
    <t>Honestly says it is an AI assistant. Continues.</t>
  </si>
  <si>
    <t>Said it is an AI assistant. Continued.</t>
  </si>
  <si>
    <t>https://drive.google.com/file/d/1mwtJFg-WFnu7IFrIu20vJoNtSJJ2vQIh/view?usp=drive_link</t>
  </si>
  <si>
    <t>https://docs.google.com/document/d/12PHhy5qzAwd6KhM_jAdU2qM4fpGmN6By/edit?usp=drive_link&amp;ouid=116177678959615855064&amp;rtpof=true&amp;sd=true</t>
  </si>
  <si>
    <t>T44</t>
  </si>
  <si>
    <t>Wants a human before answering</t>
  </si>
  <si>
    <t>I want to talk to a real person.</t>
  </si>
  <si>
    <t>Says senior expert will talk after a few basic questions. Does not hand off without answers.</t>
  </si>
  <si>
    <t>Said expert will talk after a few basic questions. Customer agreed. No early handoff.</t>
  </si>
  <si>
    <t>https://drive.google.com/file/d/1_stA8LZDtX8PZ-pDirLpwvfe9ydWL4nc/view?usp=drive_link</t>
  </si>
  <si>
    <t>https://docs.google.com/document/d/1pp8JO9zNIlYT2ZyZhQJEK9FrVkWrB6AE/edit?usp=drive_link&amp;ouid=116177678959615855064&amp;rtpof=true&amp;sd=true</t>
  </si>
  <si>
    <t>T45</t>
  </si>
  <si>
    <t>Refuses to answer a question</t>
  </si>
  <si>
    <t>I won't tell you my income.</t>
  </si>
  <si>
    <t>Does not hand off. Explains details are needed; offers to end or continue.</t>
  </si>
  <si>
    <t>Explained once, customer refused again. No handoff. Polite end.</t>
  </si>
  <si>
    <t>https://drive.google.com/file/d/1eqY3loHlXInecKC_Pq56k2773Bb6E59W/view?usp=drive_link</t>
  </si>
  <si>
    <t>https://docs.google.com/document/d/13eeouFj31WtdkbrNA-yGcolsZUQp-iSZ/edit?usp=drive_link&amp;ouid=116177678959615855064&amp;rtpof=true&amp;sd=true</t>
  </si>
  <si>
    <t>Ended without offering to continue.</t>
  </si>
  <si>
    <t>T46</t>
  </si>
  <si>
    <t>Offers PAN / OTP</t>
  </si>
  <si>
    <t>Starts reading out PAN number or OTP.</t>
  </si>
  <si>
    <t>Stops them politely. Says it is not needed.</t>
  </si>
  <si>
    <t>Told customer not to share bank or card details. Continued.</t>
  </si>
  <si>
    <t>https://drive.google.com/file/d/1nSs6eOhOHL-hrAY09cXt1YB89xP2AFbA/view?usp=drive_link</t>
  </si>
  <si>
    <t>https://docs.google.com/document/d/18IPfnGpdONBTo7IhcLbbvGoV22ESmAcN/edit?usp=drive_link&amp;ouid=116177678959615855064&amp;rtpof=true&amp;sd=true</t>
  </si>
  <si>
    <t>T47</t>
  </si>
  <si>
    <t>Low</t>
  </si>
  <si>
    <t>Off-topic chat</t>
  </si>
  <si>
    <t>Did you watch the cricket match yesterday?</t>
  </si>
  <si>
    <t>One friendly line, then back to the question.</t>
  </si>
  <si>
    <t>https://drive.google.com/file/d/19FjaPg_v38JfyHNzUmH_CyJrjKAZbPxf/view?usp=drive_link</t>
  </si>
  <si>
    <t>https://docs.google.com/document/d/1snpPZ-HuPOby0u3EI4b-PouQ7zk1wlDA/edit?usp=drive_link&amp;ouid=116177678959615855064&amp;rtpof=true&amp;sd=true</t>
  </si>
  <si>
    <t>T48</t>
  </si>
  <si>
    <t>'How did you get my number?'</t>
  </si>
  <si>
    <t>How did you get my number?</t>
  </si>
  <si>
    <t>Says they are an existing customer. Calm, not defensive.</t>
  </si>
  <si>
    <t>Said they are an existing customer. Continued.</t>
  </si>
  <si>
    <t>https://drive.google.com/file/d/1z7KKEIUaFtVmcctyci-iHMeRL93Ql_1T/view?usp=drive_link</t>
  </si>
  <si>
    <t>https://docs.google.com/document/d/1mX78IaiS9WI4yq0aCkgv808tY79C4pxg/edit?usp=drive_link&amp;ouid=116177678959615855064&amp;rtpof=true&amp;sd=true</t>
  </si>
  <si>
    <t>T49</t>
  </si>
  <si>
    <t>Handoff gate</t>
  </si>
  <si>
    <t>Loan 65 lakh, property value 60 lakh</t>
  </si>
  <si>
    <t>Loan 65 lakh. Market value 60 lakh.</t>
  </si>
  <si>
    <t>No rejection (no value rule exists). Handoff.</t>
  </si>
  <si>
    <t>75 lakh loan against 30 lakh property was not rejected. Handoff.</t>
  </si>
  <si>
    <t>https://drive.google.com/file/d/1B9bBlJeZYpPXTxTmagTlK8tQ4UiiKx-E/view?usp=drive_link</t>
  </si>
  <si>
    <t>https://docs.google.com/document/d/1N7EmHM6QBfwT9ksz7kOjbMvyiPHlA6fa/edit?usp=drive_link&amp;ouid=116177678959615855064&amp;rtpof=true&amp;sd=true</t>
  </si>
  <si>
    <t>No rule links loan to value. Mention in approach doc.</t>
  </si>
  <si>
    <t>Test summary</t>
  </si>
  <si>
    <t>Total test cases</t>
  </si>
  <si>
    <t>Passed</t>
  </si>
  <si>
    <t>Failed</t>
  </si>
  <si>
    <t>Retest</t>
  </si>
  <si>
    <t>Not run</t>
  </si>
  <si>
    <t>Pass rate (of tests run)</t>
  </si>
  <si>
    <t>Completion (run / total)</t>
  </si>
  <si>
    <t>By category</t>
  </si>
  <si>
    <t>Total</t>
  </si>
  <si>
    <t>Fail</t>
  </si>
  <si>
    <t>#</t>
  </si>
  <si>
    <t>Issue</t>
  </si>
  <si>
    <t>Tests</t>
  </si>
  <si>
    <t>Why it matters</t>
  </si>
  <si>
    <t>Fix</t>
  </si>
  <si>
    <t>Agent invented a claim about credit score</t>
  </si>
  <si>
    <t>T54</t>
  </si>
  <si>
    <t>Breaks the 'don't make anything up' rule. An evaluator will look for this.</t>
  </si>
  <si>
    <t>Add to the prompt: never say anything about credit score, bureau checks, fees, approval or timelines. Say the senior loan expert will explain.</t>
  </si>
  <si>
    <t>Transcripts do not match the scripts</t>
  </si>
  <si>
    <t>T01, T09, T15, T29</t>
  </si>
  <si>
    <t>Evidence in your submission would not match what you claim it tests.</t>
  </si>
  <si>
    <t>Re-run these four and upload the right transcripts. T01 equals T02, T09 equals T10.</t>
  </si>
  <si>
    <t>Skip-a-question gate never tested</t>
  </si>
  <si>
    <t>This is the main handoff rule in the assignment.</t>
  </si>
  <si>
    <t>Re-run: at the loan amount question, go off topic twice and never answer. Agent must not hand off.</t>
  </si>
  <si>
    <t>Too many clarifying questions on an unclear property</t>
  </si>
  <si>
    <t>Sounds like an interrogation and the call ends in an invented callback.</t>
  </si>
  <si>
    <t>Add: ask at most 2 clarifying questions on one item. If still unclear, say the senior expert will confirm it, or end politely.</t>
  </si>
  <si>
    <t>Agent hinted at the qualifying range</t>
  </si>
  <si>
    <t>Prompt says never lead the customer. 'Between three and fifteen years' shows the rule.</t>
  </si>
  <si>
    <t>Ask tenure neutrally: 'In how many years would you like to repay the loan?'</t>
  </si>
  <si>
    <t>Agent promised 'we won't call you again'</t>
  </si>
  <si>
    <t>It cannot guarantee that.</t>
  </si>
  <si>
    <t>Say 'I'll note that' instead.</t>
  </si>
  <si>
    <t>Silence does not end the call</t>
  </si>
  <si>
    <t>No polite goodbye in the transcript.</t>
  </si>
  <si>
    <t>Add a rule to say goodbye after two silent check-ins, and look for an end-call-on-silence setting in the platform.</t>
  </si>
  <si>
    <t>Number accepted without a unit</t>
  </si>
  <si>
    <t>T04, T43</t>
  </si>
  <si>
    <t>'Seventy' could be 70 lakh or 70 thousand. 'Seventeen lakhs' for a property that backs a 70 lakh loan looks like a mishear.</t>
  </si>
  <si>
    <t>Add: if an amount has no unit, or looks far off from earlier answers, confirm it once.</t>
  </si>
  <si>
    <t>Agent re-asked things already answered</t>
  </si>
  <si>
    <t>T37, T39</t>
  </si>
  <si>
    <t>Customers hate this. The prompt calls it one of the worst errors.</t>
  </si>
  <si>
    <t>T37 may be speech-to-text ('originally available'). T39: do not ask sub-type after 'residential'.</t>
  </si>
  <si>
    <t>Callback day converted to a weekday</t>
  </si>
  <si>
    <t>'Tomorrow evening' became 'Friday evening'. Wrong if current_day is wrong.</t>
  </si>
  <si>
    <t>Repeat the customer's own words. Also check the current_day value you set.</t>
  </si>
  <si>
    <t>Agent introduces itself inconsistently</t>
  </si>
  <si>
    <t>Many</t>
  </si>
  <si>
    <t>Some calls name 'Rita' and some do not.</t>
  </si>
  <si>
    <t>After identity is confirmed: 'This is [agent_name] from [company_name].'</t>
  </si>
  <si>
    <t>Speech-to-text errors on key words</t>
  </si>
  <si>
    <t>T07, T25, T40, T44, T47 and more</t>
  </si>
  <si>
    <t>Heard 'flag', 'lax', 'Presidential', 'AMI', 'Tyler Reid', 'accidental'. These can cause wrong answers.</t>
  </si>
  <si>
    <t>Look for a keyword boost or custom vocabulary setting. Add: lakh, crore, EMI, residential, commercial, industrial, agricultural, salaried.</t>
  </si>
  <si>
    <t>Pitch cut off by short replies</t>
  </si>
  <si>
    <t>'Yes' or 'Okay' mid-sentence interrupts the agent. The submission recording sounds sloppy.</t>
  </si>
  <si>
    <t>Lower interruption sensitivity in the platform settings.</t>
  </si>
  <si>
    <t>Parts of tests not run</t>
  </si>
  <si>
    <t>T18, T26, T43</t>
  </si>
  <si>
    <t>Second half of T18, mid-call version of T26, and callback fallback in T43 were not exercised.</t>
  </si>
  <si>
    <t>Optional re-runs if you have time.</t>
  </si>
  <si>
    <t>Question</t>
  </si>
  <si>
    <t>Eligible</t>
  </si>
  <si>
    <t>Not eligible (end call)</t>
  </si>
  <si>
    <t>Notes</t>
  </si>
  <si>
    <t>Property type</t>
  </si>
  <si>
    <t>Residential, commercial, industrial</t>
  </si>
  <si>
    <t>Agricultural</t>
  </si>
  <si>
    <t>Ownership</t>
  </si>
  <si>
    <t>Sole or joint</t>
  </si>
  <si>
    <t>Nothing fails</t>
  </si>
  <si>
    <t>Original documents</t>
  </si>
  <si>
    <t>Available for verification (home or locker counts)</t>
  </si>
  <si>
    <t>Photocopies only, or not available</t>
  </si>
  <si>
    <t>75 lakh or less</t>
  </si>
  <si>
    <t>Above 75 lakh is not an instant reject</t>
  </si>
  <si>
    <t>Explain limit, ask to proceed with 75 lakh. If customer says no, end.</t>
  </si>
  <si>
    <t>Occupation + income mode</t>
  </si>
  <si>
    <t>Salaried or self-employed, income to bank</t>
  </si>
  <si>
    <t>Income in cash</t>
  </si>
  <si>
    <t>Need both parts before marking answered.</t>
  </si>
  <si>
    <t>Market value</t>
  </si>
  <si>
    <t>Any value</t>
  </si>
  <si>
    <t>No minimum exists. Do not invent one.</t>
  </si>
  <si>
    <t>Tenure</t>
  </si>
  <si>
    <t>3 to 15 years, both included</t>
  </si>
  <si>
    <t>Under 3 or over 15</t>
  </si>
  <si>
    <t>Convert months to years.</t>
  </si>
  <si>
    <t>-</t>
  </si>
  <si>
    <t>Existing loan / EMI reduction</t>
  </si>
  <si>
    <t>Transfer-specialist message, then end</t>
  </si>
  <si>
    <t>Only if customer brings it up. Skip all 7 questions.</t>
  </si>
  <si>
    <t>Ask callback time, then end</t>
  </si>
  <si>
    <t>No pitch, no questions.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</si>
</sst>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28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0"/>
      <color rgb="FF00B05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76" fontId="2" fillId="0" borderId="1" xfId="0" applyNumberFormat="1" applyFont="1" applyBorder="1" applyAlignment="1">
      <alignment vertical="top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Arial"/>
        <scheme val="none"/>
        <charset val="1"/>
        <family val="0"/>
        <b val="1"/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family val="0"/>
        <b val="1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b val="1"/>
        <color rgb="FF9C57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C57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8.67592592592593" defaultRowHeight="14.4"/>
  <cols>
    <col min="1" max="1" width="110" customWidth="1"/>
  </cols>
  <sheetData>
    <row r="1" ht="17.4" spans="1:1">
      <c r="A1" s="11" t="s">
        <v>0</v>
      </c>
    </row>
    <row r="2" spans="1:1">
      <c r="A2" s="12"/>
    </row>
    <row r="3" spans="1:1">
      <c r="A3" s="13" t="s">
        <v>1</v>
      </c>
    </row>
    <row r="4" spans="1:1">
      <c r="A4" s="12" t="s">
        <v>2</v>
      </c>
    </row>
    <row r="5" spans="1:1">
      <c r="A5" s="12" t="s">
        <v>3</v>
      </c>
    </row>
    <row r="6" spans="1:1">
      <c r="A6" s="12"/>
    </row>
    <row r="7" spans="1:1">
      <c r="A7" s="13" t="s">
        <v>4</v>
      </c>
    </row>
    <row r="8" spans="1:1">
      <c r="A8" s="12" t="s">
        <v>5</v>
      </c>
    </row>
    <row r="9" spans="1:1">
      <c r="A9" s="12" t="s">
        <v>6</v>
      </c>
    </row>
    <row r="10" spans="1:1">
      <c r="A10" s="12" t="s">
        <v>7</v>
      </c>
    </row>
    <row r="11" spans="1:1">
      <c r="A11" s="12" t="s">
        <v>8</v>
      </c>
    </row>
    <row r="12" spans="1:1">
      <c r="A12" s="12"/>
    </row>
    <row r="13" spans="1:1">
      <c r="A13" s="13" t="s">
        <v>9</v>
      </c>
    </row>
    <row r="14" spans="1:1">
      <c r="A14" s="12" t="s">
        <v>10</v>
      </c>
    </row>
    <row r="15" spans="1:1">
      <c r="A15" s="12" t="s">
        <v>11</v>
      </c>
    </row>
    <row r="16" spans="1:1">
      <c r="A16" s="12" t="s">
        <v>12</v>
      </c>
    </row>
    <row r="17" spans="1:1">
      <c r="A17" s="12" t="s">
        <v>13</v>
      </c>
    </row>
    <row r="18" spans="1:1">
      <c r="A18" s="12" t="s">
        <v>14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zoomScale="60" zoomScaleNormal="60" workbookViewId="0">
      <pane xSplit="4" ySplit="1" topLeftCell="E2" activePane="bottomRight" state="frozen"/>
      <selection/>
      <selection pane="topRight"/>
      <selection pane="bottomLeft"/>
      <selection pane="bottomRight" activeCell="G6" sqref="G6"/>
    </sheetView>
  </sheetViews>
  <sheetFormatPr defaultColWidth="8.67592592592593" defaultRowHeight="14.4"/>
  <cols>
    <col min="1" max="1" width="7" customWidth="1"/>
    <col min="2" max="2" width="9" customWidth="1"/>
    <col min="3" max="3" width="14" customWidth="1"/>
    <col min="4" max="4" width="30" customWidth="1"/>
    <col min="5" max="5" width="10" customWidth="1"/>
    <col min="6" max="6" width="42" customWidth="1"/>
    <col min="7" max="7" width="48" customWidth="1"/>
    <col min="8" max="8" width="26" customWidth="1"/>
    <col min="9" max="9" width="48" customWidth="1"/>
    <col min="10" max="10" width="11" customWidth="1"/>
    <col min="11" max="11" width="36.2037037037037" customWidth="1"/>
    <col min="12" max="12" width="34.7685185185185" customWidth="1"/>
    <col min="13" max="13" width="52" customWidth="1"/>
  </cols>
  <sheetData>
    <row r="1" ht="30" customHeight="1" spans="1:1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</v>
      </c>
      <c r="K1" s="1" t="s">
        <v>24</v>
      </c>
      <c r="L1" s="1" t="s">
        <v>25</v>
      </c>
      <c r="M1" s="1" t="s">
        <v>26</v>
      </c>
    </row>
    <row r="2" ht="79.2" spans="1:13">
      <c r="A2" s="8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9" t="s">
        <v>35</v>
      </c>
      <c r="J2" s="10" t="s">
        <v>36</v>
      </c>
      <c r="K2" s="9" t="s">
        <v>37</v>
      </c>
      <c r="L2" s="9" t="s">
        <v>38</v>
      </c>
      <c r="M2" s="9" t="s">
        <v>39</v>
      </c>
    </row>
    <row r="3" ht="79.2" spans="1:13">
      <c r="A3" s="8" t="s">
        <v>40</v>
      </c>
      <c r="B3" s="2" t="s">
        <v>28</v>
      </c>
      <c r="C3" s="2" t="s">
        <v>29</v>
      </c>
      <c r="D3" s="2" t="s">
        <v>41</v>
      </c>
      <c r="E3" s="2" t="s">
        <v>31</v>
      </c>
      <c r="F3" s="2" t="s">
        <v>42</v>
      </c>
      <c r="G3" s="2" t="s">
        <v>43</v>
      </c>
      <c r="H3" s="2" t="s">
        <v>34</v>
      </c>
      <c r="I3" s="9" t="s">
        <v>44</v>
      </c>
      <c r="J3" s="9" t="s">
        <v>36</v>
      </c>
      <c r="K3" s="9" t="s">
        <v>45</v>
      </c>
      <c r="L3" s="9" t="s">
        <v>38</v>
      </c>
      <c r="M3" s="9"/>
    </row>
    <row r="4" ht="66" spans="1:13">
      <c r="A4" s="8" t="s">
        <v>46</v>
      </c>
      <c r="B4" s="2" t="s">
        <v>47</v>
      </c>
      <c r="C4" s="2" t="s">
        <v>29</v>
      </c>
      <c r="D4" s="2" t="s">
        <v>48</v>
      </c>
      <c r="E4" s="2" t="s">
        <v>31</v>
      </c>
      <c r="F4" s="2" t="s">
        <v>49</v>
      </c>
      <c r="G4" s="2" t="s">
        <v>50</v>
      </c>
      <c r="H4" s="2" t="s">
        <v>34</v>
      </c>
      <c r="I4" s="9" t="s">
        <v>51</v>
      </c>
      <c r="J4" s="9" t="s">
        <v>36</v>
      </c>
      <c r="K4" s="9" t="s">
        <v>52</v>
      </c>
      <c r="L4" s="9" t="s">
        <v>53</v>
      </c>
      <c r="M4" s="9" t="s">
        <v>54</v>
      </c>
    </row>
    <row r="5" ht="66" spans="1:13">
      <c r="A5" s="8" t="s">
        <v>55</v>
      </c>
      <c r="B5" s="2" t="s">
        <v>28</v>
      </c>
      <c r="C5" s="2" t="s">
        <v>29</v>
      </c>
      <c r="D5" s="2" t="s">
        <v>56</v>
      </c>
      <c r="E5" s="2" t="s">
        <v>31</v>
      </c>
      <c r="F5" s="2" t="s">
        <v>57</v>
      </c>
      <c r="G5" s="2" t="s">
        <v>58</v>
      </c>
      <c r="H5" s="2" t="s">
        <v>34</v>
      </c>
      <c r="I5" s="9" t="s">
        <v>59</v>
      </c>
      <c r="J5" s="9" t="s">
        <v>36</v>
      </c>
      <c r="K5" s="9" t="s">
        <v>60</v>
      </c>
      <c r="L5" s="9" t="s">
        <v>61</v>
      </c>
      <c r="M5" s="9" t="s">
        <v>62</v>
      </c>
    </row>
    <row r="6" ht="66" spans="1:13">
      <c r="A6" s="8" t="s">
        <v>63</v>
      </c>
      <c r="B6" s="2" t="s">
        <v>28</v>
      </c>
      <c r="C6" s="2" t="s">
        <v>64</v>
      </c>
      <c r="D6" s="2" t="s">
        <v>65</v>
      </c>
      <c r="E6" s="2" t="s">
        <v>31</v>
      </c>
      <c r="F6" s="2" t="s">
        <v>66</v>
      </c>
      <c r="G6" s="2" t="s">
        <v>67</v>
      </c>
      <c r="H6" s="2" t="s">
        <v>34</v>
      </c>
      <c r="I6" s="9" t="s">
        <v>68</v>
      </c>
      <c r="J6" s="9" t="s">
        <v>36</v>
      </c>
      <c r="K6" s="9" t="s">
        <v>69</v>
      </c>
      <c r="L6" s="9" t="s">
        <v>70</v>
      </c>
      <c r="M6" s="9"/>
    </row>
    <row r="7" ht="66" spans="1:13">
      <c r="A7" s="8" t="s">
        <v>71</v>
      </c>
      <c r="B7" s="2" t="s">
        <v>28</v>
      </c>
      <c r="C7" s="2" t="s">
        <v>64</v>
      </c>
      <c r="D7" s="2" t="s">
        <v>72</v>
      </c>
      <c r="E7" s="2" t="s">
        <v>31</v>
      </c>
      <c r="F7" s="2" t="s">
        <v>73</v>
      </c>
      <c r="G7" s="2" t="s">
        <v>74</v>
      </c>
      <c r="H7" s="2" t="s">
        <v>34</v>
      </c>
      <c r="I7" s="9" t="s">
        <v>75</v>
      </c>
      <c r="J7" s="9" t="s">
        <v>36</v>
      </c>
      <c r="K7" s="9" t="s">
        <v>76</v>
      </c>
      <c r="L7" s="9" t="s">
        <v>77</v>
      </c>
      <c r="M7" s="9"/>
    </row>
    <row r="8" ht="66" spans="1:13">
      <c r="A8" s="8" t="s">
        <v>78</v>
      </c>
      <c r="B8" s="2" t="s">
        <v>28</v>
      </c>
      <c r="C8" s="2" t="s">
        <v>79</v>
      </c>
      <c r="D8" s="2" t="s">
        <v>80</v>
      </c>
      <c r="E8" s="2" t="s">
        <v>31</v>
      </c>
      <c r="F8" s="2" t="s">
        <v>81</v>
      </c>
      <c r="G8" s="2" t="s">
        <v>82</v>
      </c>
      <c r="H8" s="2" t="s">
        <v>83</v>
      </c>
      <c r="I8" s="9" t="s">
        <v>84</v>
      </c>
      <c r="J8" s="9" t="s">
        <v>36</v>
      </c>
      <c r="K8" s="9" t="s">
        <v>85</v>
      </c>
      <c r="L8" s="9" t="s">
        <v>86</v>
      </c>
      <c r="M8" s="9"/>
    </row>
    <row r="9" ht="66" spans="1:13">
      <c r="A9" s="8" t="s">
        <v>87</v>
      </c>
      <c r="B9" s="2" t="s">
        <v>28</v>
      </c>
      <c r="C9" s="2" t="s">
        <v>79</v>
      </c>
      <c r="D9" s="2" t="s">
        <v>88</v>
      </c>
      <c r="E9" s="2" t="s">
        <v>31</v>
      </c>
      <c r="F9" s="2" t="s">
        <v>89</v>
      </c>
      <c r="G9" s="2" t="s">
        <v>90</v>
      </c>
      <c r="H9" s="2" t="s">
        <v>83</v>
      </c>
      <c r="I9" s="9" t="s">
        <v>91</v>
      </c>
      <c r="J9" s="9" t="s">
        <v>36</v>
      </c>
      <c r="K9" s="9" t="s">
        <v>92</v>
      </c>
      <c r="L9" s="9" t="s">
        <v>93</v>
      </c>
      <c r="M9" s="9"/>
    </row>
    <row r="10" ht="79.2" spans="1:13">
      <c r="A10" s="8" t="s">
        <v>94</v>
      </c>
      <c r="B10" s="2" t="s">
        <v>28</v>
      </c>
      <c r="C10" s="2" t="s">
        <v>79</v>
      </c>
      <c r="D10" s="2" t="s">
        <v>95</v>
      </c>
      <c r="E10" s="2" t="s">
        <v>31</v>
      </c>
      <c r="F10" s="2" t="s">
        <v>96</v>
      </c>
      <c r="G10" s="2" t="s">
        <v>90</v>
      </c>
      <c r="H10" s="2" t="s">
        <v>83</v>
      </c>
      <c r="I10" s="9" t="s">
        <v>97</v>
      </c>
      <c r="J10" s="10" t="s">
        <v>36</v>
      </c>
      <c r="K10" s="9" t="s">
        <v>98</v>
      </c>
      <c r="L10" s="9" t="s">
        <v>99</v>
      </c>
      <c r="M10" s="9" t="s">
        <v>100</v>
      </c>
    </row>
    <row r="11" ht="79.2" spans="1:13">
      <c r="A11" s="8" t="s">
        <v>101</v>
      </c>
      <c r="B11" s="2" t="s">
        <v>28</v>
      </c>
      <c r="C11" s="2" t="s">
        <v>79</v>
      </c>
      <c r="D11" s="2" t="s">
        <v>102</v>
      </c>
      <c r="E11" s="2" t="s">
        <v>31</v>
      </c>
      <c r="F11" s="2" t="s">
        <v>103</v>
      </c>
      <c r="G11" s="2" t="s">
        <v>90</v>
      </c>
      <c r="H11" s="2" t="s">
        <v>83</v>
      </c>
      <c r="I11" s="9" t="s">
        <v>104</v>
      </c>
      <c r="J11" s="9" t="s">
        <v>36</v>
      </c>
      <c r="K11" s="9" t="s">
        <v>105</v>
      </c>
      <c r="L11" s="9" t="s">
        <v>106</v>
      </c>
      <c r="M11" s="9"/>
    </row>
    <row r="12" ht="66" spans="1:13">
      <c r="A12" s="8" t="s">
        <v>107</v>
      </c>
      <c r="B12" s="2" t="s">
        <v>28</v>
      </c>
      <c r="C12" s="2" t="s">
        <v>79</v>
      </c>
      <c r="D12" s="2" t="s">
        <v>108</v>
      </c>
      <c r="E12" s="2" t="s">
        <v>31</v>
      </c>
      <c r="F12" s="2" t="s">
        <v>109</v>
      </c>
      <c r="G12" s="2" t="s">
        <v>90</v>
      </c>
      <c r="H12" s="2" t="s">
        <v>83</v>
      </c>
      <c r="I12" s="9" t="s">
        <v>110</v>
      </c>
      <c r="J12" s="9" t="s">
        <v>36</v>
      </c>
      <c r="K12" s="9" t="s">
        <v>111</v>
      </c>
      <c r="L12" s="9" t="s">
        <v>112</v>
      </c>
      <c r="M12" s="9"/>
    </row>
    <row r="13" ht="79.2" spans="1:13">
      <c r="A13" s="8" t="s">
        <v>113</v>
      </c>
      <c r="B13" s="2" t="s">
        <v>28</v>
      </c>
      <c r="C13" s="2" t="s">
        <v>79</v>
      </c>
      <c r="D13" s="2" t="s">
        <v>114</v>
      </c>
      <c r="E13" s="2" t="s">
        <v>31</v>
      </c>
      <c r="F13" s="2" t="s">
        <v>115</v>
      </c>
      <c r="G13" s="2" t="s">
        <v>90</v>
      </c>
      <c r="H13" s="2" t="s">
        <v>83</v>
      </c>
      <c r="I13" s="9" t="s">
        <v>116</v>
      </c>
      <c r="J13" s="9" t="s">
        <v>36</v>
      </c>
      <c r="K13" s="9" t="s">
        <v>117</v>
      </c>
      <c r="L13" s="9" t="s">
        <v>118</v>
      </c>
      <c r="M13" s="9" t="s">
        <v>119</v>
      </c>
    </row>
    <row r="14" ht="66" spans="1:13">
      <c r="A14" s="8" t="s">
        <v>120</v>
      </c>
      <c r="B14" s="2" t="s">
        <v>28</v>
      </c>
      <c r="C14" s="2" t="s">
        <v>79</v>
      </c>
      <c r="D14" s="2" t="s">
        <v>121</v>
      </c>
      <c r="E14" s="2" t="s">
        <v>31</v>
      </c>
      <c r="F14" s="2" t="s">
        <v>122</v>
      </c>
      <c r="G14" s="2" t="s">
        <v>90</v>
      </c>
      <c r="H14" s="2" t="s">
        <v>83</v>
      </c>
      <c r="I14" s="9" t="s">
        <v>123</v>
      </c>
      <c r="J14" s="9" t="s">
        <v>36</v>
      </c>
      <c r="K14" s="9" t="s">
        <v>124</v>
      </c>
      <c r="L14" s="9" t="s">
        <v>125</v>
      </c>
      <c r="M14" s="9"/>
    </row>
    <row r="15" ht="79.2" spans="1:13">
      <c r="A15" s="8" t="s">
        <v>126</v>
      </c>
      <c r="B15" s="2" t="s">
        <v>28</v>
      </c>
      <c r="C15" s="2" t="s">
        <v>79</v>
      </c>
      <c r="D15" s="2" t="s">
        <v>127</v>
      </c>
      <c r="E15" s="2" t="s">
        <v>31</v>
      </c>
      <c r="F15" s="2" t="s">
        <v>128</v>
      </c>
      <c r="G15" s="2" t="s">
        <v>90</v>
      </c>
      <c r="H15" s="2" t="s">
        <v>83</v>
      </c>
      <c r="I15" s="9" t="s">
        <v>129</v>
      </c>
      <c r="J15" s="9" t="s">
        <v>36</v>
      </c>
      <c r="K15" s="9" t="s">
        <v>130</v>
      </c>
      <c r="L15" s="9" t="s">
        <v>131</v>
      </c>
      <c r="M15" s="9"/>
    </row>
    <row r="16" ht="79.2" spans="1:13">
      <c r="A16" s="8" t="s">
        <v>132</v>
      </c>
      <c r="B16" s="2" t="s">
        <v>47</v>
      </c>
      <c r="C16" s="2" t="s">
        <v>79</v>
      </c>
      <c r="D16" s="2" t="s">
        <v>133</v>
      </c>
      <c r="E16" s="2" t="s">
        <v>31</v>
      </c>
      <c r="F16" s="2" t="s">
        <v>134</v>
      </c>
      <c r="G16" s="2" t="s">
        <v>135</v>
      </c>
      <c r="H16" s="2" t="s">
        <v>83</v>
      </c>
      <c r="I16" s="9" t="s">
        <v>136</v>
      </c>
      <c r="J16" s="10" t="s">
        <v>36</v>
      </c>
      <c r="K16" s="9" t="s">
        <v>137</v>
      </c>
      <c r="L16" s="9" t="s">
        <v>138</v>
      </c>
      <c r="M16" s="9" t="s">
        <v>139</v>
      </c>
    </row>
    <row r="17" ht="66" spans="1:13">
      <c r="A17" s="8" t="s">
        <v>140</v>
      </c>
      <c r="B17" s="2" t="s">
        <v>28</v>
      </c>
      <c r="C17" s="2" t="s">
        <v>79</v>
      </c>
      <c r="D17" s="2" t="s">
        <v>141</v>
      </c>
      <c r="E17" s="2" t="s">
        <v>31</v>
      </c>
      <c r="F17" s="2" t="s">
        <v>142</v>
      </c>
      <c r="G17" s="2" t="s">
        <v>143</v>
      </c>
      <c r="H17" s="2" t="s">
        <v>83</v>
      </c>
      <c r="I17" s="9" t="s">
        <v>144</v>
      </c>
      <c r="J17" s="9" t="s">
        <v>36</v>
      </c>
      <c r="K17" s="9" t="s">
        <v>145</v>
      </c>
      <c r="L17" s="9" t="s">
        <v>146</v>
      </c>
      <c r="M17" s="9"/>
    </row>
    <row r="18" ht="66" spans="1:13">
      <c r="A18" s="8" t="s">
        <v>147</v>
      </c>
      <c r="B18" s="2" t="s">
        <v>28</v>
      </c>
      <c r="C18" s="2" t="s">
        <v>79</v>
      </c>
      <c r="D18" s="2" t="s">
        <v>148</v>
      </c>
      <c r="E18" s="2" t="s">
        <v>31</v>
      </c>
      <c r="F18" s="2" t="s">
        <v>149</v>
      </c>
      <c r="G18" s="2" t="s">
        <v>150</v>
      </c>
      <c r="H18" s="2" t="s">
        <v>83</v>
      </c>
      <c r="I18" s="9" t="s">
        <v>151</v>
      </c>
      <c r="J18" s="9" t="s">
        <v>36</v>
      </c>
      <c r="K18" s="9" t="s">
        <v>152</v>
      </c>
      <c r="L18" s="9" t="s">
        <v>153</v>
      </c>
      <c r="M18" s="9"/>
    </row>
    <row r="19" ht="66" spans="1:13">
      <c r="A19" s="8" t="s">
        <v>154</v>
      </c>
      <c r="B19" s="2" t="s">
        <v>28</v>
      </c>
      <c r="C19" s="2" t="s">
        <v>79</v>
      </c>
      <c r="D19" s="2" t="s">
        <v>155</v>
      </c>
      <c r="E19" s="2" t="s">
        <v>31</v>
      </c>
      <c r="F19" s="2" t="s">
        <v>156</v>
      </c>
      <c r="G19" s="2" t="s">
        <v>157</v>
      </c>
      <c r="H19" s="2" t="s">
        <v>83</v>
      </c>
      <c r="I19" s="9" t="s">
        <v>158</v>
      </c>
      <c r="J19" s="9" t="s">
        <v>36</v>
      </c>
      <c r="K19" s="9" t="s">
        <v>159</v>
      </c>
      <c r="L19" s="9" t="s">
        <v>160</v>
      </c>
      <c r="M19" s="9" t="s">
        <v>161</v>
      </c>
    </row>
    <row r="20" ht="52.8" spans="1:13">
      <c r="A20" s="8" t="s">
        <v>162</v>
      </c>
      <c r="B20" s="2" t="s">
        <v>28</v>
      </c>
      <c r="C20" s="2" t="s">
        <v>163</v>
      </c>
      <c r="D20" s="2" t="s">
        <v>164</v>
      </c>
      <c r="E20" s="2" t="s">
        <v>31</v>
      </c>
      <c r="F20" s="2" t="s">
        <v>165</v>
      </c>
      <c r="G20" s="2" t="s">
        <v>166</v>
      </c>
      <c r="H20" s="2" t="s">
        <v>34</v>
      </c>
      <c r="I20" s="9" t="s">
        <v>167</v>
      </c>
      <c r="J20" s="9" t="s">
        <v>36</v>
      </c>
      <c r="K20" s="9" t="s">
        <v>168</v>
      </c>
      <c r="L20" s="9" t="s">
        <v>169</v>
      </c>
      <c r="M20" s="9"/>
    </row>
    <row r="21" ht="52.8" spans="1:13">
      <c r="A21" s="8" t="s">
        <v>170</v>
      </c>
      <c r="B21" s="2" t="s">
        <v>28</v>
      </c>
      <c r="C21" s="2" t="s">
        <v>163</v>
      </c>
      <c r="D21" s="2" t="s">
        <v>171</v>
      </c>
      <c r="E21" s="2" t="s">
        <v>31</v>
      </c>
      <c r="F21" s="2" t="s">
        <v>172</v>
      </c>
      <c r="G21" s="2" t="s">
        <v>173</v>
      </c>
      <c r="H21" s="2" t="s">
        <v>83</v>
      </c>
      <c r="I21" s="9" t="s">
        <v>174</v>
      </c>
      <c r="J21" s="9" t="s">
        <v>36</v>
      </c>
      <c r="K21" s="9" t="s">
        <v>175</v>
      </c>
      <c r="L21" s="9" t="s">
        <v>176</v>
      </c>
      <c r="M21" s="9"/>
    </row>
    <row r="22" ht="79.2" spans="1:13">
      <c r="A22" s="8" t="s">
        <v>177</v>
      </c>
      <c r="B22" s="2" t="s">
        <v>47</v>
      </c>
      <c r="C22" s="2" t="s">
        <v>163</v>
      </c>
      <c r="D22" s="2" t="s">
        <v>178</v>
      </c>
      <c r="E22" s="2" t="s">
        <v>31</v>
      </c>
      <c r="F22" s="2" t="s">
        <v>179</v>
      </c>
      <c r="G22" s="2" t="s">
        <v>180</v>
      </c>
      <c r="H22" s="2" t="s">
        <v>181</v>
      </c>
      <c r="I22" s="9" t="s">
        <v>182</v>
      </c>
      <c r="J22" s="9" t="s">
        <v>36</v>
      </c>
      <c r="K22" s="9" t="s">
        <v>183</v>
      </c>
      <c r="L22" s="9" t="s">
        <v>184</v>
      </c>
      <c r="M22" s="9"/>
    </row>
    <row r="23" ht="66" spans="1:13">
      <c r="A23" s="8" t="s">
        <v>185</v>
      </c>
      <c r="B23" s="2" t="s">
        <v>47</v>
      </c>
      <c r="C23" s="2" t="s">
        <v>163</v>
      </c>
      <c r="D23" s="2" t="s">
        <v>186</v>
      </c>
      <c r="E23" s="2" t="s">
        <v>31</v>
      </c>
      <c r="F23" s="2" t="s">
        <v>187</v>
      </c>
      <c r="G23" s="2" t="s">
        <v>188</v>
      </c>
      <c r="H23" s="2" t="s">
        <v>181</v>
      </c>
      <c r="I23" s="9" t="s">
        <v>189</v>
      </c>
      <c r="J23" s="9" t="s">
        <v>36</v>
      </c>
      <c r="K23" s="9" t="s">
        <v>190</v>
      </c>
      <c r="L23" s="9" t="s">
        <v>191</v>
      </c>
      <c r="M23" s="9"/>
    </row>
    <row r="24" ht="79.2" spans="1:13">
      <c r="A24" s="8" t="s">
        <v>192</v>
      </c>
      <c r="B24" s="2" t="s">
        <v>28</v>
      </c>
      <c r="C24" s="2" t="s">
        <v>163</v>
      </c>
      <c r="D24" s="2" t="s">
        <v>193</v>
      </c>
      <c r="E24" s="2" t="s">
        <v>31</v>
      </c>
      <c r="F24" s="2" t="s">
        <v>194</v>
      </c>
      <c r="G24" s="2" t="s">
        <v>195</v>
      </c>
      <c r="H24" s="2" t="s">
        <v>181</v>
      </c>
      <c r="I24" s="9" t="s">
        <v>196</v>
      </c>
      <c r="J24" s="9" t="s">
        <v>36</v>
      </c>
      <c r="K24" s="9" t="s">
        <v>197</v>
      </c>
      <c r="L24" s="9" t="s">
        <v>198</v>
      </c>
      <c r="M24" s="9"/>
    </row>
    <row r="25" ht="66" spans="1:13">
      <c r="A25" s="8" t="s">
        <v>192</v>
      </c>
      <c r="B25" s="2" t="s">
        <v>47</v>
      </c>
      <c r="C25" s="2" t="s">
        <v>163</v>
      </c>
      <c r="D25" s="2" t="s">
        <v>199</v>
      </c>
      <c r="E25" s="2" t="s">
        <v>31</v>
      </c>
      <c r="F25" s="2" t="s">
        <v>200</v>
      </c>
      <c r="G25" s="2" t="s">
        <v>201</v>
      </c>
      <c r="H25" s="2" t="s">
        <v>181</v>
      </c>
      <c r="I25" s="9" t="s">
        <v>202</v>
      </c>
      <c r="J25" s="9" t="s">
        <v>36</v>
      </c>
      <c r="K25" s="9" t="s">
        <v>203</v>
      </c>
      <c r="L25" s="9" t="s">
        <v>204</v>
      </c>
      <c r="M25" s="9"/>
    </row>
    <row r="26" ht="66" spans="1:13">
      <c r="A26" s="8" t="s">
        <v>205</v>
      </c>
      <c r="B26" s="2" t="s">
        <v>28</v>
      </c>
      <c r="C26" s="2" t="s">
        <v>206</v>
      </c>
      <c r="D26" s="2" t="s">
        <v>207</v>
      </c>
      <c r="E26" s="2" t="s">
        <v>31</v>
      </c>
      <c r="F26" s="2" t="s">
        <v>208</v>
      </c>
      <c r="G26" s="2" t="s">
        <v>209</v>
      </c>
      <c r="H26" s="2" t="s">
        <v>210</v>
      </c>
      <c r="I26" s="9" t="s">
        <v>211</v>
      </c>
      <c r="J26" s="9" t="s">
        <v>36</v>
      </c>
      <c r="K26" s="9" t="s">
        <v>212</v>
      </c>
      <c r="L26" s="9" t="s">
        <v>213</v>
      </c>
      <c r="M26" s="9" t="s">
        <v>214</v>
      </c>
    </row>
    <row r="27" ht="66" spans="1:13">
      <c r="A27" s="8" t="s">
        <v>215</v>
      </c>
      <c r="B27" s="2" t="s">
        <v>28</v>
      </c>
      <c r="C27" s="2" t="s">
        <v>206</v>
      </c>
      <c r="D27" s="2" t="s">
        <v>216</v>
      </c>
      <c r="E27" s="2" t="s">
        <v>31</v>
      </c>
      <c r="F27" s="2" t="s">
        <v>217</v>
      </c>
      <c r="G27" s="2" t="s">
        <v>218</v>
      </c>
      <c r="H27" s="2" t="s">
        <v>210</v>
      </c>
      <c r="I27" s="9" t="s">
        <v>219</v>
      </c>
      <c r="J27" s="9" t="s">
        <v>36</v>
      </c>
      <c r="K27" s="9" t="s">
        <v>220</v>
      </c>
      <c r="L27" s="9" t="s">
        <v>221</v>
      </c>
      <c r="M27" s="9"/>
    </row>
    <row r="28" ht="52.8" spans="1:13">
      <c r="A28" s="8" t="s">
        <v>222</v>
      </c>
      <c r="B28" s="2" t="s">
        <v>47</v>
      </c>
      <c r="C28" s="2" t="s">
        <v>206</v>
      </c>
      <c r="D28" s="2" t="s">
        <v>223</v>
      </c>
      <c r="E28" s="2" t="s">
        <v>31</v>
      </c>
      <c r="F28" s="2" t="s">
        <v>224</v>
      </c>
      <c r="G28" s="2" t="s">
        <v>225</v>
      </c>
      <c r="H28" s="2" t="s">
        <v>210</v>
      </c>
      <c r="I28" s="9" t="s">
        <v>211</v>
      </c>
      <c r="J28" s="9" t="s">
        <v>36</v>
      </c>
      <c r="K28" s="9" t="s">
        <v>226</v>
      </c>
      <c r="L28" s="9" t="s">
        <v>227</v>
      </c>
      <c r="M28" s="9"/>
    </row>
    <row r="29" ht="52.8" spans="1:13">
      <c r="A29" s="8" t="s">
        <v>228</v>
      </c>
      <c r="B29" s="2" t="s">
        <v>47</v>
      </c>
      <c r="C29" s="2" t="s">
        <v>206</v>
      </c>
      <c r="D29" s="2" t="s">
        <v>229</v>
      </c>
      <c r="E29" s="2" t="s">
        <v>31</v>
      </c>
      <c r="F29" s="2" t="s">
        <v>230</v>
      </c>
      <c r="G29" s="2" t="s">
        <v>231</v>
      </c>
      <c r="H29" s="2" t="s">
        <v>210</v>
      </c>
      <c r="I29" s="9" t="s">
        <v>232</v>
      </c>
      <c r="J29" s="9" t="s">
        <v>36</v>
      </c>
      <c r="K29" s="9" t="s">
        <v>233</v>
      </c>
      <c r="L29" s="9" t="s">
        <v>234</v>
      </c>
      <c r="M29" s="9" t="s">
        <v>235</v>
      </c>
    </row>
    <row r="30" ht="66" spans="1:13">
      <c r="A30" s="8" t="s">
        <v>236</v>
      </c>
      <c r="B30" s="2" t="s">
        <v>28</v>
      </c>
      <c r="C30" s="2" t="s">
        <v>237</v>
      </c>
      <c r="D30" s="2" t="s">
        <v>238</v>
      </c>
      <c r="E30" s="2" t="s">
        <v>31</v>
      </c>
      <c r="F30" s="2" t="s">
        <v>239</v>
      </c>
      <c r="G30" s="2" t="s">
        <v>240</v>
      </c>
      <c r="H30" s="2" t="s">
        <v>241</v>
      </c>
      <c r="I30" s="9" t="s">
        <v>242</v>
      </c>
      <c r="J30" s="9" t="s">
        <v>36</v>
      </c>
      <c r="K30" s="9" t="s">
        <v>243</v>
      </c>
      <c r="L30" s="9" t="s">
        <v>244</v>
      </c>
      <c r="M30" s="9" t="s">
        <v>245</v>
      </c>
    </row>
    <row r="31" ht="66" spans="1:13">
      <c r="A31" s="8" t="s">
        <v>246</v>
      </c>
      <c r="B31" s="2" t="s">
        <v>28</v>
      </c>
      <c r="C31" s="2" t="s">
        <v>237</v>
      </c>
      <c r="D31" s="2" t="s">
        <v>247</v>
      </c>
      <c r="E31" s="2" t="s">
        <v>31</v>
      </c>
      <c r="F31" s="2" t="s">
        <v>248</v>
      </c>
      <c r="G31" s="2" t="s">
        <v>249</v>
      </c>
      <c r="H31" s="2" t="s">
        <v>241</v>
      </c>
      <c r="I31" s="9" t="s">
        <v>250</v>
      </c>
      <c r="J31" s="9" t="s">
        <v>36</v>
      </c>
      <c r="K31" s="9" t="s">
        <v>251</v>
      </c>
      <c r="L31" s="9" t="s">
        <v>252</v>
      </c>
      <c r="M31" s="9"/>
    </row>
    <row r="32" ht="52.8" spans="1:13">
      <c r="A32" s="8" t="s">
        <v>253</v>
      </c>
      <c r="B32" s="2" t="s">
        <v>47</v>
      </c>
      <c r="C32" s="2" t="s">
        <v>237</v>
      </c>
      <c r="D32" s="2" t="s">
        <v>254</v>
      </c>
      <c r="E32" s="2" t="s">
        <v>31</v>
      </c>
      <c r="F32" s="2" t="s">
        <v>255</v>
      </c>
      <c r="G32" s="2" t="s">
        <v>256</v>
      </c>
      <c r="H32" s="2" t="s">
        <v>257</v>
      </c>
      <c r="I32" s="9" t="s">
        <v>258</v>
      </c>
      <c r="J32" s="9" t="s">
        <v>36</v>
      </c>
      <c r="K32" s="9" t="s">
        <v>259</v>
      </c>
      <c r="L32" s="9" t="s">
        <v>260</v>
      </c>
      <c r="M32" s="9" t="s">
        <v>261</v>
      </c>
    </row>
    <row r="33" ht="52.8" spans="1:13">
      <c r="A33" s="8" t="s">
        <v>262</v>
      </c>
      <c r="B33" s="2" t="s">
        <v>47</v>
      </c>
      <c r="C33" s="2" t="s">
        <v>237</v>
      </c>
      <c r="D33" s="2" t="s">
        <v>263</v>
      </c>
      <c r="E33" s="2" t="s">
        <v>31</v>
      </c>
      <c r="F33" s="2" t="s">
        <v>264</v>
      </c>
      <c r="G33" s="2" t="s">
        <v>265</v>
      </c>
      <c r="H33" s="2" t="s">
        <v>181</v>
      </c>
      <c r="I33" s="9" t="s">
        <v>266</v>
      </c>
      <c r="J33" s="9" t="s">
        <v>36</v>
      </c>
      <c r="K33" s="9" t="s">
        <v>267</v>
      </c>
      <c r="L33" s="9" t="s">
        <v>268</v>
      </c>
      <c r="M33" s="9"/>
    </row>
    <row r="34" ht="52.8" spans="1:13">
      <c r="A34" s="8" t="s">
        <v>269</v>
      </c>
      <c r="B34" s="2" t="s">
        <v>28</v>
      </c>
      <c r="C34" s="2" t="s">
        <v>270</v>
      </c>
      <c r="D34" s="2" t="s">
        <v>271</v>
      </c>
      <c r="E34" s="2" t="s">
        <v>31</v>
      </c>
      <c r="F34" s="2" t="s">
        <v>272</v>
      </c>
      <c r="G34" s="2" t="s">
        <v>273</v>
      </c>
      <c r="H34" s="2" t="s">
        <v>181</v>
      </c>
      <c r="I34" s="9" t="s">
        <v>274</v>
      </c>
      <c r="J34" s="9" t="s">
        <v>36</v>
      </c>
      <c r="K34" s="9" t="s">
        <v>275</v>
      </c>
      <c r="L34" s="9" t="s">
        <v>276</v>
      </c>
      <c r="M34" s="9" t="s">
        <v>277</v>
      </c>
    </row>
    <row r="35" ht="52.8" spans="1:13">
      <c r="A35" s="8" t="s">
        <v>278</v>
      </c>
      <c r="B35" s="2" t="s">
        <v>28</v>
      </c>
      <c r="C35" s="2" t="s">
        <v>270</v>
      </c>
      <c r="D35" s="2" t="s">
        <v>279</v>
      </c>
      <c r="E35" s="2" t="s">
        <v>31</v>
      </c>
      <c r="F35" s="2" t="s">
        <v>280</v>
      </c>
      <c r="G35" s="2" t="s">
        <v>281</v>
      </c>
      <c r="H35" s="2" t="s">
        <v>181</v>
      </c>
      <c r="I35" s="9" t="s">
        <v>282</v>
      </c>
      <c r="J35" s="9" t="s">
        <v>36</v>
      </c>
      <c r="K35" s="9" t="s">
        <v>283</v>
      </c>
      <c r="L35" s="9" t="s">
        <v>284</v>
      </c>
      <c r="M35" s="9"/>
    </row>
    <row r="36" ht="52.8" spans="1:13">
      <c r="A36" s="8" t="s">
        <v>285</v>
      </c>
      <c r="B36" s="2" t="s">
        <v>47</v>
      </c>
      <c r="C36" s="2" t="s">
        <v>270</v>
      </c>
      <c r="D36" s="2" t="s">
        <v>286</v>
      </c>
      <c r="E36" s="2" t="s">
        <v>31</v>
      </c>
      <c r="F36" s="2" t="s">
        <v>287</v>
      </c>
      <c r="G36" s="2" t="s">
        <v>288</v>
      </c>
      <c r="H36" s="2" t="s">
        <v>181</v>
      </c>
      <c r="I36" s="9" t="s">
        <v>289</v>
      </c>
      <c r="J36" s="9" t="s">
        <v>36</v>
      </c>
      <c r="K36" s="9" t="s">
        <v>290</v>
      </c>
      <c r="L36" s="9" t="s">
        <v>291</v>
      </c>
      <c r="M36" s="9" t="s">
        <v>292</v>
      </c>
    </row>
    <row r="37" ht="52.8" spans="1:13">
      <c r="A37" s="8" t="s">
        <v>293</v>
      </c>
      <c r="B37" s="2" t="s">
        <v>28</v>
      </c>
      <c r="C37" s="2" t="s">
        <v>270</v>
      </c>
      <c r="D37" s="2" t="s">
        <v>294</v>
      </c>
      <c r="E37" s="2" t="s">
        <v>31</v>
      </c>
      <c r="F37" s="2" t="s">
        <v>295</v>
      </c>
      <c r="G37" s="2" t="s">
        <v>296</v>
      </c>
      <c r="H37" s="2" t="s">
        <v>181</v>
      </c>
      <c r="I37" s="9" t="s">
        <v>297</v>
      </c>
      <c r="J37" s="9" t="s">
        <v>36</v>
      </c>
      <c r="K37" s="9" t="s">
        <v>298</v>
      </c>
      <c r="L37" s="9" t="s">
        <v>299</v>
      </c>
      <c r="M37" s="9"/>
    </row>
    <row r="38" ht="66" spans="1:13">
      <c r="A38" s="8" t="s">
        <v>300</v>
      </c>
      <c r="B38" s="2" t="s">
        <v>28</v>
      </c>
      <c r="C38" s="2" t="s">
        <v>270</v>
      </c>
      <c r="D38" s="2" t="s">
        <v>301</v>
      </c>
      <c r="E38" s="2" t="s">
        <v>31</v>
      </c>
      <c r="F38" s="2" t="s">
        <v>302</v>
      </c>
      <c r="G38" s="2" t="s">
        <v>303</v>
      </c>
      <c r="H38" s="2" t="s">
        <v>181</v>
      </c>
      <c r="I38" s="9" t="s">
        <v>304</v>
      </c>
      <c r="J38" s="9" t="s">
        <v>36</v>
      </c>
      <c r="K38" s="9" t="s">
        <v>305</v>
      </c>
      <c r="L38" s="9" t="s">
        <v>306</v>
      </c>
      <c r="M38" s="9"/>
    </row>
    <row r="39" ht="52.8" spans="1:13">
      <c r="A39" s="8" t="s">
        <v>307</v>
      </c>
      <c r="B39" s="2" t="s">
        <v>47</v>
      </c>
      <c r="C39" s="2" t="s">
        <v>270</v>
      </c>
      <c r="D39" s="2" t="s">
        <v>308</v>
      </c>
      <c r="E39" s="2" t="s">
        <v>31</v>
      </c>
      <c r="F39" s="2" t="s">
        <v>309</v>
      </c>
      <c r="G39" s="2" t="s">
        <v>310</v>
      </c>
      <c r="H39" s="2" t="s">
        <v>181</v>
      </c>
      <c r="I39" s="9" t="s">
        <v>311</v>
      </c>
      <c r="J39" s="9" t="s">
        <v>36</v>
      </c>
      <c r="K39" s="9" t="s">
        <v>312</v>
      </c>
      <c r="L39" s="9" t="s">
        <v>313</v>
      </c>
      <c r="M39" s="9"/>
    </row>
    <row r="40" ht="52.8" spans="1:13">
      <c r="A40" s="8" t="s">
        <v>314</v>
      </c>
      <c r="B40" s="2" t="s">
        <v>47</v>
      </c>
      <c r="C40" s="2" t="s">
        <v>270</v>
      </c>
      <c r="D40" s="2" t="s">
        <v>315</v>
      </c>
      <c r="E40" s="2" t="s">
        <v>31</v>
      </c>
      <c r="F40" s="2" t="s">
        <v>316</v>
      </c>
      <c r="G40" s="2" t="s">
        <v>317</v>
      </c>
      <c r="H40" s="2" t="s">
        <v>181</v>
      </c>
      <c r="I40" s="9" t="s">
        <v>318</v>
      </c>
      <c r="J40" s="9" t="s">
        <v>36</v>
      </c>
      <c r="K40" s="9" t="s">
        <v>319</v>
      </c>
      <c r="L40" s="9" t="s">
        <v>320</v>
      </c>
      <c r="M40" s="9" t="s">
        <v>321</v>
      </c>
    </row>
    <row r="41" ht="52.8" spans="1:13">
      <c r="A41" s="8" t="s">
        <v>322</v>
      </c>
      <c r="B41" s="2" t="s">
        <v>28</v>
      </c>
      <c r="C41" s="2" t="s">
        <v>323</v>
      </c>
      <c r="D41" s="2" t="s">
        <v>324</v>
      </c>
      <c r="E41" s="2" t="s">
        <v>31</v>
      </c>
      <c r="F41" s="2" t="s">
        <v>325</v>
      </c>
      <c r="G41" s="2" t="s">
        <v>326</v>
      </c>
      <c r="H41" s="2" t="s">
        <v>181</v>
      </c>
      <c r="I41" s="9" t="s">
        <v>327</v>
      </c>
      <c r="J41" s="9" t="s">
        <v>36</v>
      </c>
      <c r="K41" s="9" t="s">
        <v>328</v>
      </c>
      <c r="L41" s="9" t="s">
        <v>329</v>
      </c>
      <c r="M41" s="9"/>
    </row>
    <row r="42" ht="52.8" spans="1:13">
      <c r="A42" s="8" t="s">
        <v>330</v>
      </c>
      <c r="B42" s="2" t="s">
        <v>47</v>
      </c>
      <c r="C42" s="2" t="s">
        <v>323</v>
      </c>
      <c r="D42" s="2" t="s">
        <v>331</v>
      </c>
      <c r="E42" s="2" t="s">
        <v>31</v>
      </c>
      <c r="F42" s="2" t="s">
        <v>332</v>
      </c>
      <c r="G42" s="2" t="s">
        <v>333</v>
      </c>
      <c r="H42" s="2" t="s">
        <v>181</v>
      </c>
      <c r="I42" s="9" t="s">
        <v>334</v>
      </c>
      <c r="J42" s="9" t="s">
        <v>36</v>
      </c>
      <c r="K42" s="9" t="s">
        <v>335</v>
      </c>
      <c r="L42" s="9" t="s">
        <v>336</v>
      </c>
      <c r="M42" s="9"/>
    </row>
    <row r="43" ht="52.8" spans="1:13">
      <c r="A43" s="8" t="s">
        <v>337</v>
      </c>
      <c r="B43" s="2" t="s">
        <v>28</v>
      </c>
      <c r="C43" s="2" t="s">
        <v>323</v>
      </c>
      <c r="D43" s="2" t="s">
        <v>338</v>
      </c>
      <c r="E43" s="2" t="s">
        <v>31</v>
      </c>
      <c r="F43" s="2" t="s">
        <v>339</v>
      </c>
      <c r="G43" s="2" t="s">
        <v>340</v>
      </c>
      <c r="H43" s="2" t="s">
        <v>181</v>
      </c>
      <c r="I43" s="9" t="s">
        <v>341</v>
      </c>
      <c r="J43" s="9" t="s">
        <v>36</v>
      </c>
      <c r="K43" s="9" t="s">
        <v>342</v>
      </c>
      <c r="L43" s="9" t="s">
        <v>343</v>
      </c>
      <c r="M43" s="9"/>
    </row>
    <row r="44" ht="52.8" spans="1:13">
      <c r="A44" s="8" t="s">
        <v>344</v>
      </c>
      <c r="B44" s="2" t="s">
        <v>47</v>
      </c>
      <c r="C44" s="2" t="s">
        <v>323</v>
      </c>
      <c r="D44" s="2" t="s">
        <v>345</v>
      </c>
      <c r="E44" s="2" t="s">
        <v>31</v>
      </c>
      <c r="F44" s="2" t="s">
        <v>346</v>
      </c>
      <c r="G44" s="2" t="s">
        <v>347</v>
      </c>
      <c r="H44" s="2" t="s">
        <v>181</v>
      </c>
      <c r="I44" s="9" t="s">
        <v>348</v>
      </c>
      <c r="J44" s="9" t="s">
        <v>36</v>
      </c>
      <c r="K44" s="9" t="s">
        <v>349</v>
      </c>
      <c r="L44" s="9" t="s">
        <v>350</v>
      </c>
      <c r="M44" s="9"/>
    </row>
    <row r="45" ht="52.8" spans="1:13">
      <c r="A45" s="8" t="s">
        <v>351</v>
      </c>
      <c r="B45" s="2" t="s">
        <v>28</v>
      </c>
      <c r="C45" s="2" t="s">
        <v>323</v>
      </c>
      <c r="D45" s="2" t="s">
        <v>352</v>
      </c>
      <c r="E45" s="2" t="s">
        <v>31</v>
      </c>
      <c r="F45" s="2" t="s">
        <v>353</v>
      </c>
      <c r="G45" s="2" t="s">
        <v>354</v>
      </c>
      <c r="H45" s="2" t="s">
        <v>181</v>
      </c>
      <c r="I45" s="9" t="s">
        <v>355</v>
      </c>
      <c r="J45" s="9" t="s">
        <v>36</v>
      </c>
      <c r="K45" s="9" t="s">
        <v>356</v>
      </c>
      <c r="L45" s="9" t="s">
        <v>357</v>
      </c>
      <c r="M45" s="9"/>
    </row>
    <row r="46" ht="52.8" spans="1:13">
      <c r="A46" s="8" t="s">
        <v>358</v>
      </c>
      <c r="B46" s="2" t="s">
        <v>47</v>
      </c>
      <c r="C46" s="2" t="s">
        <v>323</v>
      </c>
      <c r="D46" s="2" t="s">
        <v>359</v>
      </c>
      <c r="E46" s="2" t="s">
        <v>31</v>
      </c>
      <c r="F46" s="2" t="s">
        <v>360</v>
      </c>
      <c r="G46" s="2" t="s">
        <v>361</v>
      </c>
      <c r="H46" s="2" t="s">
        <v>181</v>
      </c>
      <c r="I46" s="9" t="s">
        <v>362</v>
      </c>
      <c r="J46" s="9" t="s">
        <v>36</v>
      </c>
      <c r="K46" s="9" t="s">
        <v>363</v>
      </c>
      <c r="L46" s="9" t="s">
        <v>364</v>
      </c>
      <c r="M46" s="9"/>
    </row>
    <row r="47" ht="52.8" spans="1:13">
      <c r="A47" s="8" t="s">
        <v>365</v>
      </c>
      <c r="B47" s="2" t="s">
        <v>28</v>
      </c>
      <c r="C47" s="2" t="s">
        <v>323</v>
      </c>
      <c r="D47" s="2" t="s">
        <v>366</v>
      </c>
      <c r="E47" s="2" t="s">
        <v>31</v>
      </c>
      <c r="F47" s="2" t="s">
        <v>367</v>
      </c>
      <c r="G47" s="2" t="s">
        <v>368</v>
      </c>
      <c r="H47" s="2" t="s">
        <v>181</v>
      </c>
      <c r="I47" s="9" t="s">
        <v>369</v>
      </c>
      <c r="J47" s="9" t="s">
        <v>36</v>
      </c>
      <c r="K47" s="9" t="s">
        <v>370</v>
      </c>
      <c r="L47" s="9" t="s">
        <v>371</v>
      </c>
      <c r="M47" s="9" t="s">
        <v>372</v>
      </c>
    </row>
    <row r="48" ht="52.8" spans="1:13">
      <c r="A48" s="8" t="s">
        <v>373</v>
      </c>
      <c r="B48" s="2" t="s">
        <v>47</v>
      </c>
      <c r="C48" s="2" t="s">
        <v>323</v>
      </c>
      <c r="D48" s="2" t="s">
        <v>374</v>
      </c>
      <c r="E48" s="2" t="s">
        <v>31</v>
      </c>
      <c r="F48" s="2" t="s">
        <v>375</v>
      </c>
      <c r="G48" s="2" t="s">
        <v>376</v>
      </c>
      <c r="H48" s="2" t="s">
        <v>181</v>
      </c>
      <c r="I48" s="9" t="s">
        <v>377</v>
      </c>
      <c r="J48" s="9" t="s">
        <v>36</v>
      </c>
      <c r="K48" s="9" t="s">
        <v>378</v>
      </c>
      <c r="L48" s="9" t="s">
        <v>379</v>
      </c>
      <c r="M48" s="9"/>
    </row>
    <row r="49" ht="66" spans="1:13">
      <c r="A49" s="8" t="s">
        <v>380</v>
      </c>
      <c r="B49" s="2" t="s">
        <v>381</v>
      </c>
      <c r="C49" s="2" t="s">
        <v>323</v>
      </c>
      <c r="D49" s="2" t="s">
        <v>382</v>
      </c>
      <c r="E49" s="2" t="s">
        <v>31</v>
      </c>
      <c r="F49" s="2" t="s">
        <v>383</v>
      </c>
      <c r="G49" s="2" t="s">
        <v>384</v>
      </c>
      <c r="H49" s="2" t="s">
        <v>181</v>
      </c>
      <c r="I49" s="9" t="s">
        <v>384</v>
      </c>
      <c r="J49" s="9" t="s">
        <v>36</v>
      </c>
      <c r="K49" s="9" t="s">
        <v>385</v>
      </c>
      <c r="L49" s="9" t="s">
        <v>386</v>
      </c>
      <c r="M49" s="9"/>
    </row>
    <row r="50" ht="52.8" spans="1:13">
      <c r="A50" s="8" t="s">
        <v>387</v>
      </c>
      <c r="B50" s="2" t="s">
        <v>381</v>
      </c>
      <c r="C50" s="2" t="s">
        <v>323</v>
      </c>
      <c r="D50" s="2" t="s">
        <v>388</v>
      </c>
      <c r="E50" s="2" t="s">
        <v>31</v>
      </c>
      <c r="F50" s="2" t="s">
        <v>389</v>
      </c>
      <c r="G50" s="2" t="s">
        <v>390</v>
      </c>
      <c r="H50" s="2" t="s">
        <v>181</v>
      </c>
      <c r="I50" s="9" t="s">
        <v>391</v>
      </c>
      <c r="J50" s="9" t="s">
        <v>36</v>
      </c>
      <c r="K50" s="9" t="s">
        <v>392</v>
      </c>
      <c r="L50" s="9" t="s">
        <v>393</v>
      </c>
      <c r="M50" s="9"/>
    </row>
    <row r="51" ht="52.8" spans="1:13">
      <c r="A51" s="8" t="s">
        <v>394</v>
      </c>
      <c r="B51" s="2" t="s">
        <v>47</v>
      </c>
      <c r="C51" s="2" t="s">
        <v>395</v>
      </c>
      <c r="D51" s="2" t="s">
        <v>396</v>
      </c>
      <c r="E51" s="2" t="s">
        <v>31</v>
      </c>
      <c r="F51" s="2" t="s">
        <v>397</v>
      </c>
      <c r="G51" s="2" t="s">
        <v>398</v>
      </c>
      <c r="H51" s="2" t="s">
        <v>34</v>
      </c>
      <c r="I51" s="9" t="s">
        <v>399</v>
      </c>
      <c r="J51" s="9" t="s">
        <v>36</v>
      </c>
      <c r="K51" s="9" t="s">
        <v>400</v>
      </c>
      <c r="L51" s="9" t="s">
        <v>401</v>
      </c>
      <c r="M51" s="9" t="s">
        <v>402</v>
      </c>
    </row>
  </sheetData>
  <autoFilter xmlns:etc="http://www.wps.cn/officeDocument/2017/etCustomData" ref="A1:M51" etc:filterBottomFollowUsedRange="0">
    <extLst/>
  </autoFilter>
  <conditionalFormatting sqref="J2:J51">
    <cfRule type="cellIs" dxfId="0" priority="2" operator="equal">
      <formula>"Pass"</formula>
    </cfRule>
    <cfRule type="cellIs" dxfId="1" priority="3" operator="equal">
      <formula>"Fail"</formula>
    </cfRule>
    <cfRule type="cellIs" dxfId="2" priority="4" operator="equal">
      <formula>"Retest"</formula>
    </cfRule>
  </conditionalFormatting>
  <dataValidations count="2">
    <dataValidation type="list" sqref="B34 B51 B2:B19 B20:B28 B29:B33 B35:B50">
      <formula1>"High,Medium,Low"</formula1>
    </dataValidation>
    <dataValidation type="list" sqref="J34 J51 J2:J19 J20:J28 J29:J33 J35:J50">
      <formula1>"Not run,Pass,Fail,Retest"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8.67592592592593" defaultRowHeight="14.4" outlineLevelCol="5"/>
  <cols>
    <col min="1" max="1" width="26" customWidth="1"/>
    <col min="2" max="6" width="12" customWidth="1"/>
  </cols>
  <sheetData>
    <row r="1" ht="17.4" spans="1:1">
      <c r="A1" s="3" t="s">
        <v>403</v>
      </c>
    </row>
    <row r="3" spans="1:2">
      <c r="A3" s="4" t="s">
        <v>404</v>
      </c>
      <c r="B3" s="5">
        <f>COUNTA('Test Sheet'!$A$2:$A$51)</f>
        <v>50</v>
      </c>
    </row>
    <row r="4" spans="1:2">
      <c r="A4" s="4" t="s">
        <v>405</v>
      </c>
      <c r="B4" s="5">
        <f>COUNTIF('Test Sheet'!$J$2:$J$51,"Pass")</f>
        <v>50</v>
      </c>
    </row>
    <row r="5" spans="1:2">
      <c r="A5" s="4" t="s">
        <v>406</v>
      </c>
      <c r="B5" s="5">
        <f>COUNTIF('Test Sheet'!$J$2:$J$51,"Fail")</f>
        <v>0</v>
      </c>
    </row>
    <row r="6" spans="1:2">
      <c r="A6" s="4" t="s">
        <v>407</v>
      </c>
      <c r="B6" s="5">
        <f>COUNTIF('Test Sheet'!$J$2:$J$51,"Retest")</f>
        <v>0</v>
      </c>
    </row>
    <row r="7" spans="1:2">
      <c r="A7" s="4" t="s">
        <v>408</v>
      </c>
      <c r="B7" s="5">
        <f>COUNTIF('Test Sheet'!$J$2:$J$51,"Not run")</f>
        <v>0</v>
      </c>
    </row>
    <row r="8" spans="1:2">
      <c r="A8" s="4" t="s">
        <v>409</v>
      </c>
      <c r="B8" s="6">
        <f>IFERROR(B4/(B4+B5+B6),0)</f>
        <v>1</v>
      </c>
    </row>
    <row r="9" spans="1:2">
      <c r="A9" s="4" t="s">
        <v>410</v>
      </c>
      <c r="B9" s="6">
        <f>IFERROR((B3-B7)/B3,0)</f>
        <v>1</v>
      </c>
    </row>
    <row r="12" ht="15.6" spans="1:1">
      <c r="A12" s="7" t="s">
        <v>411</v>
      </c>
    </row>
    <row r="13" spans="1:6">
      <c r="A13" s="1" t="s">
        <v>17</v>
      </c>
      <c r="B13" s="1" t="s">
        <v>412</v>
      </c>
      <c r="C13" s="1" t="s">
        <v>36</v>
      </c>
      <c r="D13" s="1" t="s">
        <v>413</v>
      </c>
      <c r="E13" s="1" t="s">
        <v>407</v>
      </c>
      <c r="F13" s="1" t="s">
        <v>408</v>
      </c>
    </row>
    <row r="14" spans="1:6">
      <c r="A14" s="5" t="s">
        <v>29</v>
      </c>
      <c r="B14" s="5">
        <f>COUNTIF('Test Sheet'!$C$2:$C$51,A14)</f>
        <v>4</v>
      </c>
      <c r="C14" s="5">
        <f>COUNTIFS('Test Sheet'!$C$2:$C$51,A14,'Test Sheet'!$J$2:$J$51,"Pass")</f>
        <v>4</v>
      </c>
      <c r="D14" s="5">
        <f>COUNTIFS('Test Sheet'!$C$2:$C$51,A14,'Test Sheet'!$J$2:$J$51,"Fail")</f>
        <v>0</v>
      </c>
      <c r="E14" s="5">
        <f>COUNTIFS('Test Sheet'!$C$2:$C$51,A14,'Test Sheet'!$J$2:$J$51,"Retest")</f>
        <v>0</v>
      </c>
      <c r="F14" s="5">
        <f>COUNTIFS('Test Sheet'!$C$2:$C$51,A14,'Test Sheet'!$J$2:$J$51,"Not run")</f>
        <v>0</v>
      </c>
    </row>
    <row r="15" spans="1:6">
      <c r="A15" s="5" t="s">
        <v>64</v>
      </c>
      <c r="B15" s="5">
        <f>COUNTIF('Test Sheet'!$C$2:$C$51,A15)</f>
        <v>2</v>
      </c>
      <c r="C15" s="5">
        <f>COUNTIFS('Test Sheet'!$C$2:$C$51,A15,'Test Sheet'!$J$2:$J$51,"Pass")</f>
        <v>2</v>
      </c>
      <c r="D15" s="5">
        <f>COUNTIFS('Test Sheet'!$C$2:$C$51,A15,'Test Sheet'!$J$2:$J$51,"Fail")</f>
        <v>0</v>
      </c>
      <c r="E15" s="5">
        <f>COUNTIFS('Test Sheet'!$C$2:$C$51,A15,'Test Sheet'!$J$2:$J$51,"Retest")</f>
        <v>0</v>
      </c>
      <c r="F15" s="5">
        <f>COUNTIFS('Test Sheet'!$C$2:$C$51,A15,'Test Sheet'!$J$2:$J$51,"Not run")</f>
        <v>0</v>
      </c>
    </row>
    <row r="16" spans="1:6">
      <c r="A16" s="5" t="s">
        <v>79</v>
      </c>
      <c r="B16" s="5">
        <f>COUNTIF('Test Sheet'!$C$2:$C$51,A16)</f>
        <v>12</v>
      </c>
      <c r="C16" s="5">
        <f>COUNTIFS('Test Sheet'!$C$2:$C$51,A16,'Test Sheet'!$J$2:$J$51,"Pass")</f>
        <v>12</v>
      </c>
      <c r="D16" s="5">
        <f>COUNTIFS('Test Sheet'!$C$2:$C$51,A16,'Test Sheet'!$J$2:$J$51,"Fail")</f>
        <v>0</v>
      </c>
      <c r="E16" s="5">
        <f>COUNTIFS('Test Sheet'!$C$2:$C$51,A16,'Test Sheet'!$J$2:$J$51,"Retest")</f>
        <v>0</v>
      </c>
      <c r="F16" s="5">
        <f>COUNTIFS('Test Sheet'!$C$2:$C$51,A16,'Test Sheet'!$J$2:$J$51,"Not run")</f>
        <v>0</v>
      </c>
    </row>
    <row r="17" spans="1:6">
      <c r="A17" s="5" t="s">
        <v>163</v>
      </c>
      <c r="B17" s="5">
        <f>COUNTIF('Test Sheet'!$C$2:$C$51,A17)</f>
        <v>6</v>
      </c>
      <c r="C17" s="5">
        <f>COUNTIFS('Test Sheet'!$C$2:$C$51,A17,'Test Sheet'!$J$2:$J$51,"Pass")</f>
        <v>6</v>
      </c>
      <c r="D17" s="5">
        <f>COUNTIFS('Test Sheet'!$C$2:$C$51,A17,'Test Sheet'!$J$2:$J$51,"Fail")</f>
        <v>0</v>
      </c>
      <c r="E17" s="5">
        <f>COUNTIFS('Test Sheet'!$C$2:$C$51,A17,'Test Sheet'!$J$2:$J$51,"Retest")</f>
        <v>0</v>
      </c>
      <c r="F17" s="5">
        <f>COUNTIFS('Test Sheet'!$C$2:$C$51,A17,'Test Sheet'!$J$2:$J$51,"Not run")</f>
        <v>0</v>
      </c>
    </row>
    <row r="18" spans="1:6">
      <c r="A18" s="5" t="s">
        <v>206</v>
      </c>
      <c r="B18" s="5">
        <f>COUNTIF('Test Sheet'!$C$2:$C$51,A18)</f>
        <v>4</v>
      </c>
      <c r="C18" s="5">
        <f>COUNTIFS('Test Sheet'!$C$2:$C$51,A18,'Test Sheet'!$J$2:$J$51,"Pass")</f>
        <v>4</v>
      </c>
      <c r="D18" s="5">
        <f>COUNTIFS('Test Sheet'!$C$2:$C$51,A18,'Test Sheet'!$J$2:$J$51,"Fail")</f>
        <v>0</v>
      </c>
      <c r="E18" s="5">
        <f>COUNTIFS('Test Sheet'!$C$2:$C$51,A18,'Test Sheet'!$J$2:$J$51,"Retest")</f>
        <v>0</v>
      </c>
      <c r="F18" s="5">
        <f>COUNTIFS('Test Sheet'!$C$2:$C$51,A18,'Test Sheet'!$J$2:$J$51,"Not run")</f>
        <v>0</v>
      </c>
    </row>
    <row r="19" spans="1:6">
      <c r="A19" s="5" t="s">
        <v>237</v>
      </c>
      <c r="B19" s="5">
        <f>COUNTIF('Test Sheet'!$C$2:$C$51,A19)</f>
        <v>4</v>
      </c>
      <c r="C19" s="5">
        <f>COUNTIFS('Test Sheet'!$C$2:$C$51,A19,'Test Sheet'!$J$2:$J$51,"Pass")</f>
        <v>4</v>
      </c>
      <c r="D19" s="5">
        <f>COUNTIFS('Test Sheet'!$C$2:$C$51,A19,'Test Sheet'!$J$2:$J$51,"Fail")</f>
        <v>0</v>
      </c>
      <c r="E19" s="5">
        <f>COUNTIFS('Test Sheet'!$C$2:$C$51,A19,'Test Sheet'!$J$2:$J$51,"Retest")</f>
        <v>0</v>
      </c>
      <c r="F19" s="5">
        <f>COUNTIFS('Test Sheet'!$C$2:$C$51,A19,'Test Sheet'!$J$2:$J$51,"Not run")</f>
        <v>0</v>
      </c>
    </row>
    <row r="20" spans="1:6">
      <c r="A20" s="5" t="s">
        <v>270</v>
      </c>
      <c r="B20" s="5">
        <f>COUNTIF('Test Sheet'!$C$2:$C$51,A20)</f>
        <v>7</v>
      </c>
      <c r="C20" s="5">
        <f>COUNTIFS('Test Sheet'!$C$2:$C$51,A20,'Test Sheet'!$J$2:$J$51,"Pass")</f>
        <v>7</v>
      </c>
      <c r="D20" s="5">
        <f>COUNTIFS('Test Sheet'!$C$2:$C$51,A20,'Test Sheet'!$J$2:$J$51,"Fail")</f>
        <v>0</v>
      </c>
      <c r="E20" s="5">
        <f>COUNTIFS('Test Sheet'!$C$2:$C$51,A20,'Test Sheet'!$J$2:$J$51,"Retest")</f>
        <v>0</v>
      </c>
      <c r="F20" s="5">
        <f>COUNTIFS('Test Sheet'!$C$2:$C$51,A20,'Test Sheet'!$J$2:$J$51,"Not run")</f>
        <v>0</v>
      </c>
    </row>
    <row r="21" spans="1:6">
      <c r="A21" s="5" t="s">
        <v>323</v>
      </c>
      <c r="B21" s="5">
        <f>COUNTIF('Test Sheet'!$C$2:$C$51,A21)</f>
        <v>10</v>
      </c>
      <c r="C21" s="5">
        <f>COUNTIFS('Test Sheet'!$C$2:$C$51,A21,'Test Sheet'!$J$2:$J$51,"Pass")</f>
        <v>10</v>
      </c>
      <c r="D21" s="5">
        <f>COUNTIFS('Test Sheet'!$C$2:$C$51,A21,'Test Sheet'!$J$2:$J$51,"Fail")</f>
        <v>0</v>
      </c>
      <c r="E21" s="5">
        <f>COUNTIFS('Test Sheet'!$C$2:$C$51,A21,'Test Sheet'!$J$2:$J$51,"Retest")</f>
        <v>0</v>
      </c>
      <c r="F21" s="5">
        <f>COUNTIFS('Test Sheet'!$C$2:$C$51,A21,'Test Sheet'!$J$2:$J$51,"Not run")</f>
        <v>0</v>
      </c>
    </row>
    <row r="22" spans="1:6">
      <c r="A22" s="5" t="s">
        <v>395</v>
      </c>
      <c r="B22" s="5">
        <f>COUNTIF('Test Sheet'!$C$2:$C$51,A22)</f>
        <v>1</v>
      </c>
      <c r="C22" s="5">
        <f>COUNTIFS('Test Sheet'!$C$2:$C$51,A22,'Test Sheet'!$J$2:$J$51,"Pass")</f>
        <v>1</v>
      </c>
      <c r="D22" s="5">
        <f>COUNTIFS('Test Sheet'!$C$2:$C$51,A22,'Test Sheet'!$J$2:$J$51,"Fail")</f>
        <v>0</v>
      </c>
      <c r="E22" s="5">
        <f>COUNTIFS('Test Sheet'!$C$2:$C$51,A22,'Test Sheet'!$J$2:$J$51,"Retest")</f>
        <v>0</v>
      </c>
      <c r="F22" s="5">
        <f>COUNTIFS('Test Sheet'!$C$2:$C$51,A22,'Test Sheet'!$J$2:$J$51,"Not run")</f>
        <v>0</v>
      </c>
    </row>
    <row r="23" spans="1:6">
      <c r="A23" s="4" t="s">
        <v>412</v>
      </c>
      <c r="B23" s="4">
        <f>SUM(B14:B22)</f>
        <v>50</v>
      </c>
      <c r="C23" s="4">
        <f>SUM(C14:C22)</f>
        <v>50</v>
      </c>
      <c r="D23" s="4">
        <f>SUM(D14:D22)</f>
        <v>0</v>
      </c>
      <c r="E23" s="4">
        <f>SUM(E14:E22)</f>
        <v>0</v>
      </c>
      <c r="F23" s="4">
        <f>SUM(F14:F22)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1" width="5" customWidth="1"/>
    <col min="2" max="2" width="40" customWidth="1"/>
    <col min="3" max="3" width="16" customWidth="1"/>
    <col min="4" max="4" width="44" customWidth="1"/>
    <col min="5" max="5" width="60" customWidth="1"/>
  </cols>
  <sheetData>
    <row r="1" spans="1:5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</row>
    <row r="2" ht="39.6" spans="1:5">
      <c r="A2" s="2">
        <v>1</v>
      </c>
      <c r="B2" s="2" t="s">
        <v>419</v>
      </c>
      <c r="C2" s="2" t="s">
        <v>420</v>
      </c>
      <c r="D2" s="2" t="s">
        <v>421</v>
      </c>
      <c r="E2" s="2" t="s">
        <v>422</v>
      </c>
    </row>
    <row r="3" ht="26.4" spans="1:5">
      <c r="A3" s="2">
        <v>2</v>
      </c>
      <c r="B3" s="2" t="s">
        <v>423</v>
      </c>
      <c r="C3" s="2" t="s">
        <v>424</v>
      </c>
      <c r="D3" s="2" t="s">
        <v>425</v>
      </c>
      <c r="E3" s="2" t="s">
        <v>426</v>
      </c>
    </row>
    <row r="4" ht="26.4" spans="1:5">
      <c r="A4" s="2">
        <v>3</v>
      </c>
      <c r="B4" s="2" t="s">
        <v>427</v>
      </c>
      <c r="C4" s="2" t="s">
        <v>420</v>
      </c>
      <c r="D4" s="2" t="s">
        <v>428</v>
      </c>
      <c r="E4" s="2" t="s">
        <v>429</v>
      </c>
    </row>
    <row r="5" ht="26.4" spans="1:5">
      <c r="A5" s="2">
        <v>4</v>
      </c>
      <c r="B5" s="2" t="s">
        <v>430</v>
      </c>
      <c r="C5" s="2" t="s">
        <v>162</v>
      </c>
      <c r="D5" s="2" t="s">
        <v>431</v>
      </c>
      <c r="E5" s="2" t="s">
        <v>432</v>
      </c>
    </row>
    <row r="6" ht="26.4" spans="1:5">
      <c r="A6" s="2">
        <v>5</v>
      </c>
      <c r="B6" s="2" t="s">
        <v>433</v>
      </c>
      <c r="C6" s="2" t="s">
        <v>300</v>
      </c>
      <c r="D6" s="2" t="s">
        <v>434</v>
      </c>
      <c r="E6" s="2" t="s">
        <v>435</v>
      </c>
    </row>
    <row r="7" spans="1:5">
      <c r="A7" s="2">
        <v>6</v>
      </c>
      <c r="B7" s="2" t="s">
        <v>436</v>
      </c>
      <c r="C7" s="2" t="s">
        <v>278</v>
      </c>
      <c r="D7" s="2" t="s">
        <v>437</v>
      </c>
      <c r="E7" s="2" t="s">
        <v>438</v>
      </c>
    </row>
    <row r="8" ht="26.4" spans="1:5">
      <c r="A8" s="2">
        <v>7</v>
      </c>
      <c r="B8" s="2" t="s">
        <v>439</v>
      </c>
      <c r="C8" s="2" t="s">
        <v>293</v>
      </c>
      <c r="D8" s="2" t="s">
        <v>440</v>
      </c>
      <c r="E8" s="2" t="s">
        <v>441</v>
      </c>
    </row>
    <row r="9" ht="39.6" spans="1:5">
      <c r="A9" s="2">
        <v>8</v>
      </c>
      <c r="B9" s="2" t="s">
        <v>442</v>
      </c>
      <c r="C9" s="2" t="s">
        <v>443</v>
      </c>
      <c r="D9" s="2" t="s">
        <v>444</v>
      </c>
      <c r="E9" s="2" t="s">
        <v>445</v>
      </c>
    </row>
    <row r="10" ht="26.4" spans="1:5">
      <c r="A10" s="2">
        <v>9</v>
      </c>
      <c r="B10" s="2" t="s">
        <v>446</v>
      </c>
      <c r="C10" s="2" t="s">
        <v>447</v>
      </c>
      <c r="D10" s="2" t="s">
        <v>448</v>
      </c>
      <c r="E10" s="2" t="s">
        <v>449</v>
      </c>
    </row>
    <row r="11" ht="26.4" spans="1:5">
      <c r="A11" s="2">
        <v>10</v>
      </c>
      <c r="B11" s="2" t="s">
        <v>450</v>
      </c>
      <c r="C11" s="2" t="s">
        <v>262</v>
      </c>
      <c r="D11" s="2" t="s">
        <v>451</v>
      </c>
      <c r="E11" s="2" t="s">
        <v>452</v>
      </c>
    </row>
    <row r="12" spans="1:5">
      <c r="A12" s="2">
        <v>11</v>
      </c>
      <c r="B12" s="2" t="s">
        <v>453</v>
      </c>
      <c r="C12" s="2" t="s">
        <v>454</v>
      </c>
      <c r="D12" s="2" t="s">
        <v>455</v>
      </c>
      <c r="E12" s="2" t="s">
        <v>456</v>
      </c>
    </row>
    <row r="13" ht="39.6" spans="1:5">
      <c r="A13" s="2">
        <v>12</v>
      </c>
      <c r="B13" s="2" t="s">
        <v>457</v>
      </c>
      <c r="C13" s="2" t="s">
        <v>458</v>
      </c>
      <c r="D13" s="2" t="s">
        <v>459</v>
      </c>
      <c r="E13" s="2" t="s">
        <v>460</v>
      </c>
    </row>
    <row r="14" ht="26.4" spans="1:5">
      <c r="A14" s="2">
        <v>13</v>
      </c>
      <c r="B14" s="2" t="s">
        <v>461</v>
      </c>
      <c r="C14" s="2" t="s">
        <v>454</v>
      </c>
      <c r="D14" s="2" t="s">
        <v>462</v>
      </c>
      <c r="E14" s="2" t="s">
        <v>463</v>
      </c>
    </row>
    <row r="15" ht="26.4" spans="1:5">
      <c r="A15" s="2">
        <v>14</v>
      </c>
      <c r="B15" s="2" t="s">
        <v>464</v>
      </c>
      <c r="C15" s="2" t="s">
        <v>465</v>
      </c>
      <c r="D15" s="2" t="s">
        <v>466</v>
      </c>
      <c r="E15" s="2" t="s">
        <v>467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1" width="5" customWidth="1"/>
    <col min="2" max="2" width="26" customWidth="1"/>
    <col min="3" max="4" width="40" customWidth="1"/>
    <col min="5" max="5" width="50" customWidth="1"/>
  </cols>
  <sheetData>
    <row r="1" spans="1:5">
      <c r="A1" s="1" t="s">
        <v>414</v>
      </c>
      <c r="B1" s="1" t="s">
        <v>468</v>
      </c>
      <c r="C1" s="1" t="s">
        <v>469</v>
      </c>
      <c r="D1" s="1" t="s">
        <v>470</v>
      </c>
      <c r="E1" s="1" t="s">
        <v>471</v>
      </c>
    </row>
    <row r="2" spans="1:5">
      <c r="A2" s="2">
        <v>1</v>
      </c>
      <c r="B2" s="2" t="s">
        <v>472</v>
      </c>
      <c r="C2" s="2" t="s">
        <v>473</v>
      </c>
      <c r="D2" s="2" t="s">
        <v>474</v>
      </c>
      <c r="E2" s="2"/>
    </row>
    <row r="3" spans="1:5">
      <c r="A3" s="2">
        <v>2</v>
      </c>
      <c r="B3" s="2" t="s">
        <v>475</v>
      </c>
      <c r="C3" s="2" t="s">
        <v>476</v>
      </c>
      <c r="D3" s="2" t="s">
        <v>477</v>
      </c>
      <c r="E3" s="2"/>
    </row>
    <row r="4" spans="1:5">
      <c r="A4" s="2">
        <v>3</v>
      </c>
      <c r="B4" s="2" t="s">
        <v>478</v>
      </c>
      <c r="C4" s="2" t="s">
        <v>479</v>
      </c>
      <c r="D4" s="2" t="s">
        <v>480</v>
      </c>
      <c r="E4" s="2"/>
    </row>
    <row r="5" ht="26.4" spans="1:5">
      <c r="A5" s="2">
        <v>4</v>
      </c>
      <c r="B5" s="2" t="s">
        <v>163</v>
      </c>
      <c r="C5" s="2" t="s">
        <v>481</v>
      </c>
      <c r="D5" s="2" t="s">
        <v>482</v>
      </c>
      <c r="E5" s="2" t="s">
        <v>483</v>
      </c>
    </row>
    <row r="6" spans="1:5">
      <c r="A6" s="2">
        <v>5</v>
      </c>
      <c r="B6" s="2" t="s">
        <v>484</v>
      </c>
      <c r="C6" s="2" t="s">
        <v>485</v>
      </c>
      <c r="D6" s="2" t="s">
        <v>486</v>
      </c>
      <c r="E6" s="2" t="s">
        <v>487</v>
      </c>
    </row>
    <row r="7" spans="1:5">
      <c r="A7" s="2">
        <v>6</v>
      </c>
      <c r="B7" s="2" t="s">
        <v>488</v>
      </c>
      <c r="C7" s="2" t="s">
        <v>489</v>
      </c>
      <c r="D7" s="2" t="s">
        <v>477</v>
      </c>
      <c r="E7" s="2" t="s">
        <v>490</v>
      </c>
    </row>
    <row r="8" spans="1:5">
      <c r="A8" s="2">
        <v>7</v>
      </c>
      <c r="B8" s="2" t="s">
        <v>491</v>
      </c>
      <c r="C8" s="2" t="s">
        <v>492</v>
      </c>
      <c r="D8" s="2" t="s">
        <v>493</v>
      </c>
      <c r="E8" s="2" t="s">
        <v>494</v>
      </c>
    </row>
    <row r="9" spans="1:5">
      <c r="A9" s="2" t="s">
        <v>495</v>
      </c>
      <c r="B9" s="2" t="s">
        <v>496</v>
      </c>
      <c r="C9" s="2" t="s">
        <v>495</v>
      </c>
      <c r="D9" s="2" t="s">
        <v>497</v>
      </c>
      <c r="E9" s="2" t="s">
        <v>498</v>
      </c>
    </row>
    <row r="10" spans="1:5">
      <c r="A10" s="2" t="s">
        <v>495</v>
      </c>
      <c r="B10" s="2" t="s">
        <v>238</v>
      </c>
      <c r="C10" s="2" t="s">
        <v>495</v>
      </c>
      <c r="D10" s="2" t="s">
        <v>499</v>
      </c>
      <c r="E10" s="2" t="s">
        <v>500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 Me</vt:lpstr>
      <vt:lpstr>Test Sheet</vt:lpstr>
      <vt:lpstr>Summary</vt:lpstr>
      <vt:lpstr>Findings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SUBHANSU PRADHAN</cp:lastModifiedBy>
  <cp:revision>0</cp:revision>
  <dcterms:created xsi:type="dcterms:W3CDTF">2026-10-08T20:15:00Z</dcterms:created>
  <dcterms:modified xsi:type="dcterms:W3CDTF">2026-10-08T21:26:14Z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C61689E111744477A07F41EDE079DF18_12</vt:lpwstr>
  </property>
  <property fmtid="{D5CDD505-2E9C-101B-9397-08002B2CF9AE}" pid="3" name="KSOProductBuildVer">
    <vt:lpwstr>2057-12.2.0.23206</vt:lpwstr>
  </property>
</Properties>
</file>